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3cf9c44101e2bca/Desktop/PSOD/"/>
    </mc:Choice>
  </mc:AlternateContent>
  <xr:revisionPtr revIDLastSave="57" documentId="11_F25DC773A252ABDACC1048963199421C5BDE58E5" xr6:coauthVersionLast="47" xr6:coauthVersionMax="47" xr10:uidLastSave="{5CB6815C-673C-4C8C-A0D5-2714F6A157E1}"/>
  <bookViews>
    <workbookView xWindow="-96" yWindow="0" windowWidth="11712" windowHeight="12336" xr2:uid="{00000000-000D-0000-FFFF-FFFF00000000}"/>
  </bookViews>
  <sheets>
    <sheet name="Data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101" i="1" l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2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2" i="1"/>
  <c r="D21" i="1" l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6" i="1"/>
  <c r="D57" i="1"/>
  <c r="D99" i="1"/>
  <c r="D100" i="1"/>
  <c r="D101" i="1"/>
  <c r="D54" i="1"/>
  <c r="D55" i="1"/>
  <c r="D59" i="1"/>
  <c r="D68" i="1"/>
  <c r="D70" i="1"/>
  <c r="D72" i="1"/>
  <c r="D74" i="1"/>
  <c r="D76" i="1"/>
  <c r="D79" i="1"/>
  <c r="D81" i="1"/>
  <c r="D83" i="1"/>
  <c r="D85" i="1"/>
  <c r="D87" i="1"/>
  <c r="D89" i="1"/>
  <c r="D91" i="1"/>
  <c r="D93" i="1"/>
  <c r="D95" i="1"/>
  <c r="D9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58" i="1"/>
  <c r="D60" i="1"/>
  <c r="D61" i="1"/>
  <c r="D62" i="1"/>
  <c r="D63" i="1"/>
  <c r="D64" i="1"/>
  <c r="D65" i="1"/>
  <c r="D66" i="1"/>
  <c r="D67" i="1"/>
  <c r="D69" i="1"/>
  <c r="D71" i="1"/>
  <c r="D73" i="1"/>
  <c r="D75" i="1"/>
  <c r="D77" i="1"/>
  <c r="D78" i="1"/>
  <c r="D80" i="1"/>
  <c r="D82" i="1"/>
  <c r="D84" i="1"/>
  <c r="D86" i="1"/>
  <c r="D88" i="1"/>
  <c r="D90" i="1"/>
  <c r="D92" i="1"/>
  <c r="D94" i="1"/>
  <c r="D96" i="1"/>
  <c r="D98" i="1"/>
  <c r="D2" i="1"/>
</calcChain>
</file>

<file path=xl/sharedStrings.xml><?xml version="1.0" encoding="utf-8"?>
<sst xmlns="http://schemas.openxmlformats.org/spreadsheetml/2006/main" count="314" uniqueCount="133">
  <si>
    <t>Project_ID</t>
  </si>
  <si>
    <t>Client_ID</t>
  </si>
  <si>
    <t>Start_Date</t>
  </si>
  <si>
    <t>End_Date</t>
  </si>
  <si>
    <t>Budget_Hours</t>
  </si>
  <si>
    <t>Project_Value</t>
  </si>
  <si>
    <t>Status</t>
  </si>
  <si>
    <t>P001</t>
  </si>
  <si>
    <t>C014</t>
  </si>
  <si>
    <t>Delayed</t>
  </si>
  <si>
    <t>P002</t>
  </si>
  <si>
    <t>C008</t>
  </si>
  <si>
    <t>Completed</t>
  </si>
  <si>
    <t>P003</t>
  </si>
  <si>
    <t>C002</t>
  </si>
  <si>
    <t>On Hold</t>
  </si>
  <si>
    <t>P004</t>
  </si>
  <si>
    <t>C019</t>
  </si>
  <si>
    <t>P005</t>
  </si>
  <si>
    <t>C020</t>
  </si>
  <si>
    <t>Active</t>
  </si>
  <si>
    <t>P006</t>
  </si>
  <si>
    <t>C010</t>
  </si>
  <si>
    <t>P008</t>
  </si>
  <si>
    <t>P009</t>
  </si>
  <si>
    <t>C013</t>
  </si>
  <si>
    <t>P010</t>
  </si>
  <si>
    <t>C017</t>
  </si>
  <si>
    <t>P011</t>
  </si>
  <si>
    <t>C003</t>
  </si>
  <si>
    <t>P012</t>
  </si>
  <si>
    <t>P013</t>
  </si>
  <si>
    <t>P014</t>
  </si>
  <si>
    <t>P015</t>
  </si>
  <si>
    <t>C016</t>
  </si>
  <si>
    <t>P016</t>
  </si>
  <si>
    <t>P017</t>
  </si>
  <si>
    <t>P018</t>
  </si>
  <si>
    <t>C009</t>
  </si>
  <si>
    <t>P019</t>
  </si>
  <si>
    <t>P020</t>
  </si>
  <si>
    <t>C006</t>
  </si>
  <si>
    <t>P021</t>
  </si>
  <si>
    <t>P022</t>
  </si>
  <si>
    <t>P023</t>
  </si>
  <si>
    <t>C007</t>
  </si>
  <si>
    <t>P024</t>
  </si>
  <si>
    <t>C012</t>
  </si>
  <si>
    <t>P025</t>
  </si>
  <si>
    <t>P026</t>
  </si>
  <si>
    <t>C005</t>
  </si>
  <si>
    <t>P027</t>
  </si>
  <si>
    <t>P028</t>
  </si>
  <si>
    <t>P029</t>
  </si>
  <si>
    <t>P030</t>
  </si>
  <si>
    <t>P031</t>
  </si>
  <si>
    <t>P032</t>
  </si>
  <si>
    <t>C011</t>
  </si>
  <si>
    <t>P033</t>
  </si>
  <si>
    <t>P034</t>
  </si>
  <si>
    <t>P035</t>
  </si>
  <si>
    <t>P036</t>
  </si>
  <si>
    <t>C001</t>
  </si>
  <si>
    <t>P037</t>
  </si>
  <si>
    <t>P038</t>
  </si>
  <si>
    <t>P039</t>
  </si>
  <si>
    <t>P040</t>
  </si>
  <si>
    <t>P041</t>
  </si>
  <si>
    <t>P042</t>
  </si>
  <si>
    <t>P043</t>
  </si>
  <si>
    <t>P044</t>
  </si>
  <si>
    <t>P045</t>
  </si>
  <si>
    <t>P046</t>
  </si>
  <si>
    <t>P047</t>
  </si>
  <si>
    <t>C018</t>
  </si>
  <si>
    <t>P048</t>
  </si>
  <si>
    <t>P049</t>
  </si>
  <si>
    <t>P050</t>
  </si>
  <si>
    <t>P051</t>
  </si>
  <si>
    <t>P052</t>
  </si>
  <si>
    <t>P053</t>
  </si>
  <si>
    <t>P054</t>
  </si>
  <si>
    <t>P055</t>
  </si>
  <si>
    <t>P056</t>
  </si>
  <si>
    <t>P057</t>
  </si>
  <si>
    <t>P058</t>
  </si>
  <si>
    <t>C004</t>
  </si>
  <si>
    <t>P059</t>
  </si>
  <si>
    <t>C015</t>
  </si>
  <si>
    <t>P060</t>
  </si>
  <si>
    <t>P061</t>
  </si>
  <si>
    <t>P062</t>
  </si>
  <si>
    <t>P063</t>
  </si>
  <si>
    <t>P064</t>
  </si>
  <si>
    <t>P065</t>
  </si>
  <si>
    <t>P066</t>
  </si>
  <si>
    <t>P067</t>
  </si>
  <si>
    <t>P068</t>
  </si>
  <si>
    <t>P069</t>
  </si>
  <si>
    <t>P070</t>
  </si>
  <si>
    <t>P071</t>
  </si>
  <si>
    <t>P072</t>
  </si>
  <si>
    <t>P073</t>
  </si>
  <si>
    <t>P074</t>
  </si>
  <si>
    <t>P075</t>
  </si>
  <si>
    <t>P076</t>
  </si>
  <si>
    <t>P077</t>
  </si>
  <si>
    <t>P078</t>
  </si>
  <si>
    <t>P079</t>
  </si>
  <si>
    <t>P080</t>
  </si>
  <si>
    <t>P081</t>
  </si>
  <si>
    <t>P082</t>
  </si>
  <si>
    <t>P083</t>
  </si>
  <si>
    <t>P084</t>
  </si>
  <si>
    <t>P085</t>
  </si>
  <si>
    <t>P086</t>
  </si>
  <si>
    <t>P087</t>
  </si>
  <si>
    <t>P088</t>
  </si>
  <si>
    <t>P089</t>
  </si>
  <si>
    <t>P090</t>
  </si>
  <si>
    <t>P091</t>
  </si>
  <si>
    <t>P092</t>
  </si>
  <si>
    <t>P093</t>
  </si>
  <si>
    <t>P094</t>
  </si>
  <si>
    <t>P095</t>
  </si>
  <si>
    <t>P096</t>
  </si>
  <si>
    <t>P097</t>
  </si>
  <si>
    <t>P098</t>
  </si>
  <si>
    <t>P099</t>
  </si>
  <si>
    <t>P100</t>
  </si>
  <si>
    <t>complete</t>
  </si>
  <si>
    <t>COMPLETE</t>
  </si>
  <si>
    <t>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</si>
</sst>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AF85D-CE70-4AB5-BBE1-99A842FD6335}">
  <dimension ref="A1:J101"/>
  <sheetViews>
    <sheetView tabSelected="1" workbookViewId="0">
      <selection activeCell="I82" sqref="I82"/>
    </sheetView>
  </sheetViews>
  <sheetFormatPr defaultRowHeight="14.4" x14ac:dyDescent="0.3"/>
  <cols>
    <col min="1" max="1" width="9.77734375" bestFit="1" customWidth="1"/>
    <col min="2" max="2" width="8.5546875" bestFit="1" customWidth="1"/>
    <col min="3" max="3" width="11.6640625" style="1" customWidth="1"/>
    <col min="4" max="4" width="11.21875" style="1" customWidth="1"/>
    <col min="5" max="5" width="12.88671875" bestFit="1" customWidth="1"/>
    <col min="6" max="6" width="12.77734375" bestFit="1" customWidth="1"/>
    <col min="7" max="7" width="9.88671875" bestFit="1" customWidth="1"/>
  </cols>
  <sheetData>
    <row r="1" spans="1:7" x14ac:dyDescent="0.3">
      <c r="A1" s="2" t="s">
        <v>0</v>
      </c>
      <c r="B1" s="2" t="s">
        <v>1</v>
      </c>
      <c r="C1" s="3" t="s">
        <v>2</v>
      </c>
      <c r="D1" s="3" t="s">
        <v>3</v>
      </c>
      <c r="E1" s="2" t="s">
        <v>4</v>
      </c>
      <c r="F1" s="2" t="s">
        <v>5</v>
      </c>
      <c r="G1" s="2" t="s">
        <v>6</v>
      </c>
    </row>
    <row r="2" spans="1:7" x14ac:dyDescent="0.3">
      <c r="A2" t="s">
        <v>7</v>
      </c>
      <c r="B2" t="s">
        <v>8</v>
      </c>
      <c r="C2" s="1">
        <v>45715</v>
      </c>
      <c r="D2" s="1">
        <v>45829</v>
      </c>
      <c r="E2">
        <v>199</v>
      </c>
      <c r="F2">
        <v>51650</v>
      </c>
      <c r="G2" t="s">
        <v>9</v>
      </c>
    </row>
    <row r="3" spans="1:7" x14ac:dyDescent="0.3">
      <c r="A3" t="s">
        <v>10</v>
      </c>
      <c r="B3" t="s">
        <v>11</v>
      </c>
      <c r="C3" s="1">
        <v>45746</v>
      </c>
      <c r="D3" s="1">
        <v>45882</v>
      </c>
      <c r="E3">
        <v>680</v>
      </c>
      <c r="F3">
        <v>128028</v>
      </c>
      <c r="G3" t="s">
        <v>12</v>
      </c>
    </row>
    <row r="4" spans="1:7" x14ac:dyDescent="0.3">
      <c r="A4" t="s">
        <v>13</v>
      </c>
      <c r="B4" t="s">
        <v>14</v>
      </c>
      <c r="D4" s="1">
        <v>45804</v>
      </c>
      <c r="E4">
        <v>185</v>
      </c>
      <c r="F4">
        <v>126259</v>
      </c>
      <c r="G4" t="s">
        <v>15</v>
      </c>
    </row>
    <row r="5" spans="1:7" x14ac:dyDescent="0.3">
      <c r="A5" t="s">
        <v>16</v>
      </c>
      <c r="B5" t="s">
        <v>17</v>
      </c>
      <c r="C5" s="1">
        <v>45664</v>
      </c>
      <c r="D5" s="1">
        <v>45798</v>
      </c>
      <c r="E5">
        <v>230</v>
      </c>
      <c r="F5">
        <v>72875</v>
      </c>
      <c r="G5" t="s">
        <v>9</v>
      </c>
    </row>
    <row r="6" spans="1:7" x14ac:dyDescent="0.3">
      <c r="A6" t="s">
        <v>18</v>
      </c>
      <c r="B6" t="s">
        <v>19</v>
      </c>
      <c r="C6" s="1">
        <v>45754</v>
      </c>
      <c r="D6" s="1">
        <v>45791</v>
      </c>
      <c r="E6">
        <v>983</v>
      </c>
      <c r="F6">
        <v>135011</v>
      </c>
      <c r="G6" t="s">
        <v>20</v>
      </c>
    </row>
    <row r="7" spans="1:7" x14ac:dyDescent="0.3">
      <c r="A7" t="s">
        <v>21</v>
      </c>
      <c r="B7" t="s">
        <v>8</v>
      </c>
      <c r="C7" s="1">
        <v>45698</v>
      </c>
      <c r="D7" s="1">
        <v>45754</v>
      </c>
      <c r="E7">
        <v>580</v>
      </c>
      <c r="F7">
        <v>102020</v>
      </c>
      <c r="G7" t="s">
        <v>15</v>
      </c>
    </row>
    <row r="8" spans="1:7" x14ac:dyDescent="0.3">
      <c r="B8" t="s">
        <v>22</v>
      </c>
      <c r="C8" s="1">
        <v>45969</v>
      </c>
      <c r="D8" s="1">
        <v>46011</v>
      </c>
      <c r="E8">
        <v>252</v>
      </c>
      <c r="F8">
        <v>29883</v>
      </c>
      <c r="G8" t="s">
        <v>12</v>
      </c>
    </row>
    <row r="9" spans="1:7" x14ac:dyDescent="0.3">
      <c r="A9" t="s">
        <v>23</v>
      </c>
      <c r="B9" t="s">
        <v>14</v>
      </c>
      <c r="C9" s="1">
        <v>45916</v>
      </c>
      <c r="D9" s="1">
        <v>45973</v>
      </c>
      <c r="E9">
        <v>610</v>
      </c>
      <c r="F9">
        <v>93336</v>
      </c>
      <c r="G9" t="s">
        <v>20</v>
      </c>
    </row>
    <row r="10" spans="1:7" x14ac:dyDescent="0.3">
      <c r="A10" t="s">
        <v>24</v>
      </c>
      <c r="B10" t="s">
        <v>25</v>
      </c>
      <c r="C10" s="1">
        <v>45876</v>
      </c>
      <c r="D10" s="1">
        <v>46023</v>
      </c>
      <c r="E10">
        <v>627</v>
      </c>
      <c r="F10">
        <v>79115</v>
      </c>
      <c r="G10" t="s">
        <v>15</v>
      </c>
    </row>
    <row r="11" spans="1:7" x14ac:dyDescent="0.3">
      <c r="A11" t="s">
        <v>26</v>
      </c>
      <c r="B11" t="s">
        <v>27</v>
      </c>
      <c r="C11" s="1">
        <v>45859</v>
      </c>
      <c r="D11" s="1">
        <v>45970</v>
      </c>
      <c r="E11">
        <v>831</v>
      </c>
      <c r="F11">
        <v>12749</v>
      </c>
      <c r="G11" t="s">
        <v>12</v>
      </c>
    </row>
    <row r="12" spans="1:7" x14ac:dyDescent="0.3">
      <c r="A12" t="s">
        <v>28</v>
      </c>
      <c r="B12" t="s">
        <v>29</v>
      </c>
      <c r="C12" s="1">
        <v>45940</v>
      </c>
      <c r="D12" s="1">
        <v>46032</v>
      </c>
      <c r="E12">
        <v>172</v>
      </c>
      <c r="F12">
        <v>92908</v>
      </c>
      <c r="G12" t="s">
        <v>9</v>
      </c>
    </row>
    <row r="13" spans="1:7" x14ac:dyDescent="0.3">
      <c r="A13" t="s">
        <v>30</v>
      </c>
      <c r="B13" t="s">
        <v>29</v>
      </c>
      <c r="C13" s="1">
        <v>45785</v>
      </c>
      <c r="D13" s="1">
        <v>45889</v>
      </c>
      <c r="E13">
        <v>906</v>
      </c>
      <c r="F13">
        <v>103249</v>
      </c>
      <c r="G13" t="s">
        <v>9</v>
      </c>
    </row>
    <row r="14" spans="1:7" x14ac:dyDescent="0.3">
      <c r="A14" t="s">
        <v>31</v>
      </c>
      <c r="B14" t="s">
        <v>17</v>
      </c>
      <c r="C14" s="1">
        <v>45939</v>
      </c>
      <c r="D14" s="1">
        <v>46069</v>
      </c>
      <c r="E14">
        <v>696</v>
      </c>
      <c r="F14">
        <v>41023</v>
      </c>
      <c r="G14" t="s">
        <v>12</v>
      </c>
    </row>
    <row r="15" spans="1:7" x14ac:dyDescent="0.3">
      <c r="A15" t="s">
        <v>32</v>
      </c>
      <c r="B15" t="s">
        <v>22</v>
      </c>
      <c r="C15" s="1">
        <v>45904</v>
      </c>
      <c r="D15" s="1">
        <v>45937</v>
      </c>
      <c r="E15">
        <v>120</v>
      </c>
      <c r="F15">
        <v>83241</v>
      </c>
      <c r="G15" t="s">
        <v>15</v>
      </c>
    </row>
    <row r="16" spans="1:7" x14ac:dyDescent="0.3">
      <c r="A16" t="s">
        <v>33</v>
      </c>
      <c r="B16" t="s">
        <v>34</v>
      </c>
      <c r="C16" s="1">
        <v>45871</v>
      </c>
      <c r="D16" s="1">
        <v>46037</v>
      </c>
      <c r="E16">
        <v>194</v>
      </c>
      <c r="F16">
        <v>52754</v>
      </c>
      <c r="G16" t="s">
        <v>9</v>
      </c>
    </row>
    <row r="17" spans="1:7" x14ac:dyDescent="0.3">
      <c r="A17" t="s">
        <v>35</v>
      </c>
      <c r="C17" s="1">
        <v>45980</v>
      </c>
      <c r="D17" s="1">
        <v>46030</v>
      </c>
      <c r="E17">
        <v>175</v>
      </c>
      <c r="F17">
        <v>135288</v>
      </c>
      <c r="G17" t="s">
        <v>9</v>
      </c>
    </row>
    <row r="18" spans="1:7" x14ac:dyDescent="0.3">
      <c r="A18" t="s">
        <v>36</v>
      </c>
      <c r="B18" t="s">
        <v>8</v>
      </c>
      <c r="C18" s="1">
        <v>45662</v>
      </c>
      <c r="D18" s="1">
        <v>45727</v>
      </c>
      <c r="E18">
        <v>299</v>
      </c>
      <c r="F18">
        <v>64326</v>
      </c>
      <c r="G18" t="s">
        <v>12</v>
      </c>
    </row>
    <row r="19" spans="1:7" x14ac:dyDescent="0.3">
      <c r="A19" t="s">
        <v>37</v>
      </c>
      <c r="B19" t="s">
        <v>38</v>
      </c>
      <c r="C19" s="1">
        <v>45799</v>
      </c>
      <c r="D19" s="1">
        <v>45926</v>
      </c>
      <c r="E19">
        <v>178</v>
      </c>
      <c r="F19">
        <v>26047</v>
      </c>
      <c r="G19" t="s">
        <v>9</v>
      </c>
    </row>
    <row r="20" spans="1:7" x14ac:dyDescent="0.3">
      <c r="A20" t="s">
        <v>39</v>
      </c>
      <c r="B20" t="s">
        <v>17</v>
      </c>
      <c r="C20" s="1">
        <v>45701</v>
      </c>
      <c r="D20" s="1">
        <v>45814</v>
      </c>
      <c r="E20">
        <v>984</v>
      </c>
      <c r="F20">
        <v>15903</v>
      </c>
      <c r="G20" t="s">
        <v>20</v>
      </c>
    </row>
    <row r="21" spans="1:7" x14ac:dyDescent="0.3">
      <c r="A21" t="s">
        <v>40</v>
      </c>
      <c r="B21" t="s">
        <v>41</v>
      </c>
      <c r="C21" s="1">
        <v>45739</v>
      </c>
      <c r="D21" s="1">
        <v>45889</v>
      </c>
      <c r="E21">
        <v>745</v>
      </c>
      <c r="F21">
        <v>61510</v>
      </c>
      <c r="G21" t="s">
        <v>20</v>
      </c>
    </row>
    <row r="22" spans="1:7" x14ac:dyDescent="0.3">
      <c r="A22" t="s">
        <v>42</v>
      </c>
      <c r="B22" t="s">
        <v>29</v>
      </c>
      <c r="C22" s="1">
        <v>45913</v>
      </c>
      <c r="D22" s="1">
        <v>46088</v>
      </c>
      <c r="E22">
        <v>328</v>
      </c>
      <c r="F22">
        <v>55697</v>
      </c>
      <c r="G22" t="s">
        <v>15</v>
      </c>
    </row>
    <row r="23" spans="1:7" x14ac:dyDescent="0.3">
      <c r="A23" t="s">
        <v>43</v>
      </c>
      <c r="B23" t="s">
        <v>22</v>
      </c>
      <c r="C23" s="1">
        <v>45714</v>
      </c>
      <c r="D23" s="1">
        <v>45828</v>
      </c>
      <c r="E23">
        <v>659</v>
      </c>
      <c r="F23">
        <v>119846</v>
      </c>
      <c r="G23" t="s">
        <v>9</v>
      </c>
    </row>
    <row r="24" spans="1:7" x14ac:dyDescent="0.3">
      <c r="A24" t="s">
        <v>44</v>
      </c>
      <c r="B24" t="s">
        <v>45</v>
      </c>
      <c r="C24" s="1">
        <v>45856</v>
      </c>
      <c r="E24">
        <v>368</v>
      </c>
      <c r="F24">
        <v>109688</v>
      </c>
      <c r="G24" t="s">
        <v>12</v>
      </c>
    </row>
    <row r="25" spans="1:7" x14ac:dyDescent="0.3">
      <c r="A25" t="s">
        <v>46</v>
      </c>
      <c r="B25" t="s">
        <v>47</v>
      </c>
      <c r="C25" s="1">
        <v>45905</v>
      </c>
      <c r="D25" s="1">
        <v>46005</v>
      </c>
      <c r="E25">
        <v>875</v>
      </c>
      <c r="F25">
        <v>69966</v>
      </c>
      <c r="G25" t="s">
        <v>12</v>
      </c>
    </row>
    <row r="26" spans="1:7" x14ac:dyDescent="0.3">
      <c r="A26" t="s">
        <v>48</v>
      </c>
      <c r="B26" t="s">
        <v>27</v>
      </c>
      <c r="C26" s="1">
        <v>45925</v>
      </c>
      <c r="D26" s="1">
        <v>45996</v>
      </c>
      <c r="E26">
        <v>183</v>
      </c>
      <c r="F26">
        <v>93459</v>
      </c>
      <c r="G26" t="s">
        <v>12</v>
      </c>
    </row>
    <row r="27" spans="1:7" x14ac:dyDescent="0.3">
      <c r="A27" t="s">
        <v>49</v>
      </c>
      <c r="B27" t="s">
        <v>50</v>
      </c>
      <c r="C27" s="1">
        <v>45763</v>
      </c>
      <c r="D27" s="1">
        <v>45795</v>
      </c>
      <c r="E27">
        <v>543</v>
      </c>
      <c r="F27">
        <v>56128</v>
      </c>
      <c r="G27" t="s">
        <v>12</v>
      </c>
    </row>
    <row r="28" spans="1:7" x14ac:dyDescent="0.3">
      <c r="A28" t="s">
        <v>51</v>
      </c>
      <c r="B28" t="s">
        <v>50</v>
      </c>
      <c r="C28" s="1">
        <v>45820</v>
      </c>
      <c r="D28" s="1">
        <v>45957</v>
      </c>
      <c r="E28">
        <v>372</v>
      </c>
      <c r="F28">
        <v>52830</v>
      </c>
      <c r="G28" t="s">
        <v>20</v>
      </c>
    </row>
    <row r="29" spans="1:7" x14ac:dyDescent="0.3">
      <c r="A29" t="s">
        <v>52</v>
      </c>
      <c r="B29" t="s">
        <v>50</v>
      </c>
      <c r="C29" s="1">
        <v>45987</v>
      </c>
      <c r="D29" s="1">
        <v>46054</v>
      </c>
      <c r="E29">
        <v>698</v>
      </c>
      <c r="F29">
        <v>50110</v>
      </c>
      <c r="G29" t="s">
        <v>20</v>
      </c>
    </row>
    <row r="30" spans="1:7" x14ac:dyDescent="0.3">
      <c r="A30" t="s">
        <v>53</v>
      </c>
      <c r="B30" t="s">
        <v>38</v>
      </c>
      <c r="C30" s="1">
        <v>45905</v>
      </c>
      <c r="D30" s="1">
        <v>45973</v>
      </c>
      <c r="F30">
        <v>51292</v>
      </c>
      <c r="G30" t="s">
        <v>20</v>
      </c>
    </row>
    <row r="31" spans="1:7" x14ac:dyDescent="0.3">
      <c r="A31" t="s">
        <v>54</v>
      </c>
      <c r="B31" t="s">
        <v>11</v>
      </c>
      <c r="C31" s="1">
        <v>45727</v>
      </c>
      <c r="D31" s="1">
        <v>45837</v>
      </c>
      <c r="E31">
        <v>693</v>
      </c>
      <c r="F31">
        <v>119300</v>
      </c>
      <c r="G31" t="s">
        <v>20</v>
      </c>
    </row>
    <row r="32" spans="1:7" x14ac:dyDescent="0.3">
      <c r="A32" t="s">
        <v>55</v>
      </c>
      <c r="B32" t="s">
        <v>47</v>
      </c>
      <c r="C32" s="1">
        <v>45766</v>
      </c>
      <c r="D32" s="1">
        <v>45857</v>
      </c>
      <c r="E32">
        <v>149</v>
      </c>
      <c r="F32">
        <v>61982</v>
      </c>
      <c r="G32" t="s">
        <v>12</v>
      </c>
    </row>
    <row r="33" spans="1:7" x14ac:dyDescent="0.3">
      <c r="A33" t="s">
        <v>56</v>
      </c>
      <c r="B33" t="s">
        <v>57</v>
      </c>
      <c r="C33" s="1">
        <v>45962</v>
      </c>
      <c r="D33" s="1">
        <v>46044</v>
      </c>
      <c r="E33">
        <v>377</v>
      </c>
      <c r="F33">
        <v>94062</v>
      </c>
      <c r="G33" t="s">
        <v>15</v>
      </c>
    </row>
    <row r="34" spans="1:7" x14ac:dyDescent="0.3">
      <c r="A34" t="s">
        <v>58</v>
      </c>
      <c r="B34" t="s">
        <v>14</v>
      </c>
      <c r="C34" s="1">
        <v>45928</v>
      </c>
      <c r="D34" s="1">
        <v>46064</v>
      </c>
      <c r="E34">
        <v>644</v>
      </c>
      <c r="F34">
        <v>89765</v>
      </c>
      <c r="G34" t="s">
        <v>9</v>
      </c>
    </row>
    <row r="35" spans="1:7" x14ac:dyDescent="0.3">
      <c r="A35" t="s">
        <v>59</v>
      </c>
      <c r="B35" t="s">
        <v>25</v>
      </c>
      <c r="C35" s="1">
        <v>45990</v>
      </c>
      <c r="D35" s="1">
        <v>46028</v>
      </c>
      <c r="E35">
        <v>939</v>
      </c>
      <c r="F35">
        <v>10096</v>
      </c>
      <c r="G35" t="s">
        <v>20</v>
      </c>
    </row>
    <row r="36" spans="1:7" x14ac:dyDescent="0.3">
      <c r="A36" t="s">
        <v>60</v>
      </c>
      <c r="B36" t="s">
        <v>50</v>
      </c>
      <c r="C36" s="1">
        <v>45966</v>
      </c>
      <c r="D36" s="1">
        <v>46132</v>
      </c>
      <c r="E36">
        <v>538</v>
      </c>
      <c r="F36">
        <v>83295</v>
      </c>
      <c r="G36" t="s">
        <v>20</v>
      </c>
    </row>
    <row r="37" spans="1:7" x14ac:dyDescent="0.3">
      <c r="A37" t="s">
        <v>61</v>
      </c>
      <c r="B37" t="s">
        <v>62</v>
      </c>
      <c r="C37" s="1">
        <v>45724</v>
      </c>
      <c r="D37" s="1">
        <v>45797</v>
      </c>
      <c r="E37">
        <v>489</v>
      </c>
      <c r="F37">
        <v>80669</v>
      </c>
      <c r="G37" t="s">
        <v>15</v>
      </c>
    </row>
    <row r="38" spans="1:7" x14ac:dyDescent="0.3">
      <c r="A38" t="s">
        <v>63</v>
      </c>
      <c r="B38" t="s">
        <v>22</v>
      </c>
      <c r="C38" s="1">
        <v>45994</v>
      </c>
      <c r="D38" s="1">
        <v>46075</v>
      </c>
      <c r="E38">
        <v>848</v>
      </c>
      <c r="F38">
        <v>41700</v>
      </c>
      <c r="G38" t="s">
        <v>12</v>
      </c>
    </row>
    <row r="39" spans="1:7" x14ac:dyDescent="0.3">
      <c r="A39" t="s">
        <v>64</v>
      </c>
      <c r="B39" t="s">
        <v>14</v>
      </c>
      <c r="C39" s="1">
        <v>45667</v>
      </c>
      <c r="D39" s="1">
        <v>45839</v>
      </c>
      <c r="E39">
        <v>387</v>
      </c>
      <c r="F39">
        <v>87465</v>
      </c>
      <c r="G39" t="s">
        <v>9</v>
      </c>
    </row>
    <row r="40" spans="1:7" x14ac:dyDescent="0.3">
      <c r="A40" t="s">
        <v>65</v>
      </c>
      <c r="B40" t="s">
        <v>34</v>
      </c>
      <c r="C40" s="1">
        <v>45950</v>
      </c>
      <c r="D40" s="1">
        <v>46067</v>
      </c>
      <c r="E40">
        <v>769</v>
      </c>
      <c r="G40" t="s">
        <v>15</v>
      </c>
    </row>
    <row r="41" spans="1:7" x14ac:dyDescent="0.3">
      <c r="A41" t="s">
        <v>66</v>
      </c>
      <c r="B41" t="s">
        <v>34</v>
      </c>
      <c r="C41" s="1">
        <v>45993</v>
      </c>
      <c r="D41" s="1">
        <v>46149</v>
      </c>
      <c r="E41">
        <v>919</v>
      </c>
      <c r="F41">
        <v>25827</v>
      </c>
      <c r="G41" t="s">
        <v>15</v>
      </c>
    </row>
    <row r="42" spans="1:7" x14ac:dyDescent="0.3">
      <c r="A42" t="s">
        <v>67</v>
      </c>
      <c r="B42" t="s">
        <v>62</v>
      </c>
      <c r="C42" s="1">
        <v>45959</v>
      </c>
      <c r="D42" s="1">
        <v>46003</v>
      </c>
      <c r="E42">
        <v>946</v>
      </c>
      <c r="F42">
        <v>54572</v>
      </c>
      <c r="G42" t="s">
        <v>20</v>
      </c>
    </row>
    <row r="43" spans="1:7" x14ac:dyDescent="0.3">
      <c r="A43" t="s">
        <v>68</v>
      </c>
      <c r="B43" t="s">
        <v>50</v>
      </c>
      <c r="C43" s="1">
        <v>45914</v>
      </c>
      <c r="D43" s="1">
        <v>45964</v>
      </c>
      <c r="E43">
        <v>499</v>
      </c>
      <c r="F43">
        <v>119447</v>
      </c>
      <c r="G43" t="s">
        <v>12</v>
      </c>
    </row>
    <row r="44" spans="1:7" x14ac:dyDescent="0.3">
      <c r="A44" t="s">
        <v>69</v>
      </c>
      <c r="B44" t="s">
        <v>8</v>
      </c>
      <c r="C44" s="1">
        <v>45979</v>
      </c>
      <c r="D44" s="1">
        <v>46014</v>
      </c>
      <c r="E44">
        <v>294</v>
      </c>
      <c r="F44">
        <v>16833</v>
      </c>
      <c r="G44" t="s">
        <v>20</v>
      </c>
    </row>
    <row r="45" spans="1:7" x14ac:dyDescent="0.3">
      <c r="A45" t="s">
        <v>70</v>
      </c>
      <c r="B45" t="s">
        <v>50</v>
      </c>
      <c r="C45" s="1">
        <v>45754</v>
      </c>
      <c r="D45" s="1">
        <v>45877</v>
      </c>
      <c r="E45">
        <v>376</v>
      </c>
      <c r="F45">
        <v>136094</v>
      </c>
      <c r="G45" t="s">
        <v>12</v>
      </c>
    </row>
    <row r="46" spans="1:7" x14ac:dyDescent="0.3">
      <c r="A46" t="s">
        <v>71</v>
      </c>
      <c r="B46" t="s">
        <v>19</v>
      </c>
      <c r="C46" s="1">
        <v>45996</v>
      </c>
      <c r="D46" s="1">
        <v>46150</v>
      </c>
      <c r="E46">
        <v>225</v>
      </c>
      <c r="F46">
        <v>106658</v>
      </c>
      <c r="G46" t="s">
        <v>20</v>
      </c>
    </row>
    <row r="47" spans="1:7" x14ac:dyDescent="0.3">
      <c r="A47" t="s">
        <v>72</v>
      </c>
      <c r="B47" t="s">
        <v>45</v>
      </c>
      <c r="C47" s="1">
        <v>45684</v>
      </c>
      <c r="D47" s="1">
        <v>45817</v>
      </c>
      <c r="E47">
        <v>828</v>
      </c>
      <c r="F47">
        <v>56821</v>
      </c>
      <c r="G47" t="s">
        <v>12</v>
      </c>
    </row>
    <row r="48" spans="1:7" x14ac:dyDescent="0.3">
      <c r="A48" t="s">
        <v>73</v>
      </c>
      <c r="B48" t="s">
        <v>74</v>
      </c>
      <c r="C48" s="1">
        <v>45754</v>
      </c>
      <c r="D48" s="1">
        <v>45790</v>
      </c>
      <c r="E48">
        <v>945</v>
      </c>
      <c r="F48">
        <v>96076</v>
      </c>
      <c r="G48" t="s">
        <v>9</v>
      </c>
    </row>
    <row r="49" spans="1:10" x14ac:dyDescent="0.3">
      <c r="A49" t="s">
        <v>75</v>
      </c>
      <c r="B49" t="s">
        <v>74</v>
      </c>
      <c r="C49" s="1">
        <v>45970</v>
      </c>
      <c r="D49" s="1">
        <v>46065</v>
      </c>
      <c r="E49">
        <v>179</v>
      </c>
      <c r="F49">
        <v>85797</v>
      </c>
      <c r="G49" t="s">
        <v>132</v>
      </c>
    </row>
    <row r="50" spans="1:10" x14ac:dyDescent="0.3">
      <c r="A50" t="s">
        <v>76</v>
      </c>
      <c r="B50" t="s">
        <v>47</v>
      </c>
      <c r="C50" s="1">
        <v>45682</v>
      </c>
      <c r="D50" s="1">
        <v>45759</v>
      </c>
      <c r="E50">
        <v>867</v>
      </c>
      <c r="F50">
        <v>127408</v>
      </c>
    </row>
    <row r="51" spans="1:10" x14ac:dyDescent="0.3">
      <c r="A51" t="s">
        <v>77</v>
      </c>
      <c r="B51" t="s">
        <v>57</v>
      </c>
      <c r="C51" s="1">
        <v>45769</v>
      </c>
      <c r="D51" s="1">
        <v>45839</v>
      </c>
      <c r="E51">
        <v>448</v>
      </c>
      <c r="F51">
        <v>45526</v>
      </c>
      <c r="G51" t="s">
        <v>9</v>
      </c>
    </row>
    <row r="52" spans="1:10" x14ac:dyDescent="0.3">
      <c r="A52" t="s">
        <v>78</v>
      </c>
      <c r="B52" t="s">
        <v>38</v>
      </c>
      <c r="C52" s="1">
        <v>46016</v>
      </c>
      <c r="D52" s="1">
        <v>46166</v>
      </c>
      <c r="E52">
        <v>611</v>
      </c>
      <c r="F52">
        <v>99613</v>
      </c>
      <c r="G52" t="s">
        <v>20</v>
      </c>
    </row>
    <row r="53" spans="1:10" x14ac:dyDescent="0.3">
      <c r="A53" t="s">
        <v>79</v>
      </c>
      <c r="B53" t="s">
        <v>29</v>
      </c>
      <c r="C53" s="1">
        <v>45743</v>
      </c>
      <c r="D53" s="1">
        <v>45903</v>
      </c>
      <c r="E53">
        <v>328</v>
      </c>
      <c r="F53">
        <v>47920</v>
      </c>
      <c r="G53" t="s">
        <v>20</v>
      </c>
    </row>
    <row r="54" spans="1:10" x14ac:dyDescent="0.3">
      <c r="A54" t="s">
        <v>80</v>
      </c>
      <c r="B54" t="s">
        <v>22</v>
      </c>
      <c r="C54" s="1">
        <v>45869</v>
      </c>
      <c r="D54" s="1">
        <v>46034</v>
      </c>
      <c r="E54">
        <v>783</v>
      </c>
      <c r="F54">
        <v>10351</v>
      </c>
      <c r="G54" t="s">
        <v>9</v>
      </c>
    </row>
    <row r="55" spans="1:10" x14ac:dyDescent="0.3">
      <c r="A55" t="s">
        <v>81</v>
      </c>
      <c r="B55" t="s">
        <v>14</v>
      </c>
      <c r="C55" s="1">
        <v>45984</v>
      </c>
      <c r="D55" s="1">
        <v>46038</v>
      </c>
      <c r="E55">
        <v>394</v>
      </c>
      <c r="F55">
        <v>109285</v>
      </c>
      <c r="G55" t="s">
        <v>9</v>
      </c>
    </row>
    <row r="56" spans="1:10" x14ac:dyDescent="0.3">
      <c r="A56" t="s">
        <v>82</v>
      </c>
      <c r="B56" t="s">
        <v>57</v>
      </c>
      <c r="C56" s="1">
        <v>46022</v>
      </c>
      <c r="D56" s="1">
        <v>46092</v>
      </c>
      <c r="E56">
        <v>187</v>
      </c>
      <c r="F56">
        <v>126464</v>
      </c>
      <c r="G56" t="s">
        <v>20</v>
      </c>
    </row>
    <row r="57" spans="1:10" x14ac:dyDescent="0.3">
      <c r="A57" t="s">
        <v>83</v>
      </c>
      <c r="B57" t="s">
        <v>22</v>
      </c>
      <c r="C57" s="1">
        <v>45878</v>
      </c>
      <c r="D57" s="1">
        <v>46025</v>
      </c>
      <c r="E57">
        <v>913</v>
      </c>
      <c r="F57">
        <v>24876</v>
      </c>
      <c r="G57" t="s">
        <v>15</v>
      </c>
    </row>
    <row r="58" spans="1:10" x14ac:dyDescent="0.3">
      <c r="A58" t="s">
        <v>84</v>
      </c>
      <c r="B58" t="s">
        <v>22</v>
      </c>
      <c r="C58" s="1">
        <v>45928</v>
      </c>
      <c r="D58" s="1">
        <v>46080</v>
      </c>
      <c r="E58">
        <v>805</v>
      </c>
      <c r="F58">
        <v>105926</v>
      </c>
      <c r="G58" t="s">
        <v>15</v>
      </c>
    </row>
    <row r="59" spans="1:10" x14ac:dyDescent="0.3">
      <c r="A59" t="s">
        <v>85</v>
      </c>
      <c r="B59" t="s">
        <v>86</v>
      </c>
      <c r="C59" s="1">
        <v>45714</v>
      </c>
      <c r="D59" s="1">
        <v>45778</v>
      </c>
      <c r="E59">
        <v>689</v>
      </c>
      <c r="F59">
        <v>100914</v>
      </c>
      <c r="G59" t="s">
        <v>15</v>
      </c>
      <c r="J59" t="s">
        <v>130</v>
      </c>
    </row>
    <row r="60" spans="1:10" x14ac:dyDescent="0.3">
      <c r="A60" t="s">
        <v>87</v>
      </c>
      <c r="B60" t="s">
        <v>88</v>
      </c>
      <c r="C60" s="1">
        <v>45677</v>
      </c>
      <c r="D60" s="1">
        <v>45801</v>
      </c>
      <c r="E60">
        <v>628</v>
      </c>
      <c r="F60">
        <v>145448</v>
      </c>
      <c r="G60" t="s">
        <v>12</v>
      </c>
      <c r="J60" t="s">
        <v>131</v>
      </c>
    </row>
    <row r="61" spans="1:10" x14ac:dyDescent="0.3">
      <c r="A61" t="s">
        <v>89</v>
      </c>
      <c r="B61" t="s">
        <v>14</v>
      </c>
      <c r="C61" s="1">
        <v>45869</v>
      </c>
      <c r="D61" s="1">
        <v>45998</v>
      </c>
      <c r="E61">
        <v>442</v>
      </c>
      <c r="F61">
        <v>131361</v>
      </c>
      <c r="G61" t="s">
        <v>20</v>
      </c>
      <c r="J61" t="s">
        <v>132</v>
      </c>
    </row>
    <row r="62" spans="1:10" x14ac:dyDescent="0.3">
      <c r="A62" t="s">
        <v>90</v>
      </c>
      <c r="B62" t="s">
        <v>17</v>
      </c>
      <c r="C62" s="1">
        <v>45931</v>
      </c>
      <c r="D62" s="1">
        <v>45964</v>
      </c>
      <c r="E62">
        <v>673</v>
      </c>
      <c r="F62">
        <v>64500</v>
      </c>
      <c r="G62" t="s">
        <v>15</v>
      </c>
    </row>
    <row r="63" spans="1:10" x14ac:dyDescent="0.3">
      <c r="A63" t="s">
        <v>91</v>
      </c>
      <c r="B63" t="s">
        <v>25</v>
      </c>
      <c r="C63" s="1">
        <v>45768</v>
      </c>
      <c r="D63" s="1">
        <v>45863</v>
      </c>
      <c r="E63">
        <v>895</v>
      </c>
      <c r="F63">
        <v>25857</v>
      </c>
      <c r="G63" t="s">
        <v>9</v>
      </c>
    </row>
    <row r="64" spans="1:10" x14ac:dyDescent="0.3">
      <c r="A64" t="s">
        <v>92</v>
      </c>
      <c r="B64" t="s">
        <v>19</v>
      </c>
      <c r="C64" s="1">
        <v>45848</v>
      </c>
      <c r="D64" s="1">
        <v>45905</v>
      </c>
      <c r="E64">
        <v>235</v>
      </c>
      <c r="F64">
        <v>37120</v>
      </c>
      <c r="G64" t="s">
        <v>15</v>
      </c>
    </row>
    <row r="65" spans="1:7" x14ac:dyDescent="0.3">
      <c r="A65" t="s">
        <v>93</v>
      </c>
      <c r="B65" t="s">
        <v>86</v>
      </c>
      <c r="C65" s="1">
        <v>45926</v>
      </c>
      <c r="D65" s="1">
        <v>46078</v>
      </c>
      <c r="E65">
        <v>450</v>
      </c>
      <c r="F65">
        <v>61481</v>
      </c>
      <c r="G65" t="s">
        <v>9</v>
      </c>
    </row>
    <row r="66" spans="1:7" x14ac:dyDescent="0.3">
      <c r="A66" t="s">
        <v>94</v>
      </c>
      <c r="B66" t="s">
        <v>50</v>
      </c>
      <c r="C66" s="1">
        <v>45672</v>
      </c>
      <c r="D66" s="1">
        <v>45821</v>
      </c>
      <c r="E66">
        <v>267</v>
      </c>
      <c r="F66">
        <v>113899</v>
      </c>
      <c r="G66" t="s">
        <v>12</v>
      </c>
    </row>
    <row r="67" spans="1:7" x14ac:dyDescent="0.3">
      <c r="A67" t="s">
        <v>95</v>
      </c>
      <c r="B67" t="s">
        <v>22</v>
      </c>
      <c r="C67" s="1">
        <v>45716</v>
      </c>
      <c r="D67" s="1">
        <v>45881</v>
      </c>
      <c r="E67">
        <v>484</v>
      </c>
      <c r="F67">
        <v>135821</v>
      </c>
      <c r="G67" t="s">
        <v>15</v>
      </c>
    </row>
    <row r="68" spans="1:7" x14ac:dyDescent="0.3">
      <c r="A68" t="s">
        <v>96</v>
      </c>
      <c r="B68" t="s">
        <v>38</v>
      </c>
      <c r="C68" s="1">
        <v>45784</v>
      </c>
      <c r="D68" s="1">
        <v>45964</v>
      </c>
      <c r="E68">
        <v>650</v>
      </c>
      <c r="F68">
        <v>18558</v>
      </c>
      <c r="G68" t="s">
        <v>9</v>
      </c>
    </row>
    <row r="69" spans="1:7" x14ac:dyDescent="0.3">
      <c r="A69" t="s">
        <v>97</v>
      </c>
      <c r="B69" t="s">
        <v>8</v>
      </c>
      <c r="C69" s="1">
        <v>45858</v>
      </c>
      <c r="D69" s="1">
        <v>45989</v>
      </c>
      <c r="E69">
        <v>727</v>
      </c>
      <c r="F69">
        <v>79497</v>
      </c>
      <c r="G69" t="s">
        <v>9</v>
      </c>
    </row>
    <row r="70" spans="1:7" x14ac:dyDescent="0.3">
      <c r="A70" t="s">
        <v>98</v>
      </c>
      <c r="B70" t="s">
        <v>57</v>
      </c>
      <c r="C70" s="1">
        <v>45825</v>
      </c>
      <c r="D70" s="1">
        <v>45903</v>
      </c>
      <c r="E70">
        <v>140</v>
      </c>
      <c r="F70">
        <v>132990</v>
      </c>
      <c r="G70" t="s">
        <v>9</v>
      </c>
    </row>
    <row r="71" spans="1:7" x14ac:dyDescent="0.3">
      <c r="A71" t="s">
        <v>99</v>
      </c>
      <c r="B71" t="s">
        <v>25</v>
      </c>
      <c r="C71" s="1">
        <v>45694</v>
      </c>
      <c r="D71" s="1">
        <v>45819</v>
      </c>
      <c r="E71">
        <v>314</v>
      </c>
      <c r="F71">
        <v>43972</v>
      </c>
      <c r="G71" t="s">
        <v>12</v>
      </c>
    </row>
    <row r="72" spans="1:7" x14ac:dyDescent="0.3">
      <c r="A72" t="s">
        <v>100</v>
      </c>
      <c r="B72" t="s">
        <v>38</v>
      </c>
      <c r="C72" s="1">
        <v>45787</v>
      </c>
      <c r="D72" s="1">
        <v>45884</v>
      </c>
      <c r="E72">
        <v>312</v>
      </c>
      <c r="F72">
        <v>146860</v>
      </c>
      <c r="G72" t="s">
        <v>130</v>
      </c>
    </row>
    <row r="73" spans="1:7" x14ac:dyDescent="0.3">
      <c r="A73" t="s">
        <v>101</v>
      </c>
      <c r="B73" t="s">
        <v>8</v>
      </c>
      <c r="C73" s="1">
        <v>45863</v>
      </c>
      <c r="D73" s="1">
        <v>46000</v>
      </c>
      <c r="E73">
        <v>174</v>
      </c>
      <c r="F73">
        <v>140211</v>
      </c>
      <c r="G73" t="s">
        <v>20</v>
      </c>
    </row>
    <row r="74" spans="1:7" x14ac:dyDescent="0.3">
      <c r="A74" t="s">
        <v>102</v>
      </c>
      <c r="B74" t="s">
        <v>74</v>
      </c>
      <c r="C74" s="1">
        <v>45832</v>
      </c>
      <c r="D74" s="1">
        <v>45972</v>
      </c>
      <c r="E74">
        <v>395</v>
      </c>
      <c r="F74">
        <v>129074</v>
      </c>
      <c r="G74" t="s">
        <v>12</v>
      </c>
    </row>
    <row r="75" spans="1:7" x14ac:dyDescent="0.3">
      <c r="A75" t="s">
        <v>103</v>
      </c>
      <c r="B75" t="s">
        <v>22</v>
      </c>
      <c r="C75" s="1">
        <v>45815</v>
      </c>
      <c r="D75" s="1">
        <v>45919</v>
      </c>
      <c r="E75">
        <v>880</v>
      </c>
      <c r="F75">
        <v>24867</v>
      </c>
      <c r="G75" t="s">
        <v>12</v>
      </c>
    </row>
    <row r="76" spans="1:7" x14ac:dyDescent="0.3">
      <c r="A76" t="s">
        <v>104</v>
      </c>
      <c r="B76" t="s">
        <v>19</v>
      </c>
      <c r="C76" s="1">
        <v>45761</v>
      </c>
      <c r="D76" s="1">
        <v>45936</v>
      </c>
      <c r="E76">
        <v>399</v>
      </c>
      <c r="F76">
        <v>108295</v>
      </c>
      <c r="G76" t="s">
        <v>15</v>
      </c>
    </row>
    <row r="77" spans="1:7" x14ac:dyDescent="0.3">
      <c r="A77" t="s">
        <v>105</v>
      </c>
      <c r="B77" t="s">
        <v>57</v>
      </c>
      <c r="C77" s="1">
        <v>45883</v>
      </c>
      <c r="D77" s="1">
        <v>45996</v>
      </c>
      <c r="E77">
        <v>366</v>
      </c>
      <c r="F77">
        <v>51948</v>
      </c>
      <c r="G77" t="s">
        <v>12</v>
      </c>
    </row>
    <row r="78" spans="1:7" x14ac:dyDescent="0.3">
      <c r="A78" t="s">
        <v>106</v>
      </c>
      <c r="B78" t="s">
        <v>25</v>
      </c>
      <c r="C78" s="1">
        <v>45970</v>
      </c>
      <c r="D78" s="1">
        <v>46123</v>
      </c>
      <c r="E78">
        <v>145</v>
      </c>
      <c r="F78">
        <v>31083</v>
      </c>
      <c r="G78" t="s">
        <v>20</v>
      </c>
    </row>
    <row r="79" spans="1:7" x14ac:dyDescent="0.3">
      <c r="A79" t="s">
        <v>107</v>
      </c>
      <c r="B79" t="s">
        <v>57</v>
      </c>
      <c r="C79" s="1">
        <v>45670</v>
      </c>
      <c r="D79" s="1">
        <v>45818</v>
      </c>
      <c r="E79">
        <v>266</v>
      </c>
      <c r="F79">
        <v>68720</v>
      </c>
      <c r="G79" t="s">
        <v>9</v>
      </c>
    </row>
    <row r="80" spans="1:7" x14ac:dyDescent="0.3">
      <c r="A80" t="s">
        <v>108</v>
      </c>
      <c r="B80" t="s">
        <v>86</v>
      </c>
      <c r="C80" s="1">
        <v>45762</v>
      </c>
      <c r="D80" s="1">
        <v>45840</v>
      </c>
      <c r="E80">
        <v>360</v>
      </c>
      <c r="F80">
        <v>121420</v>
      </c>
      <c r="G80" t="s">
        <v>9</v>
      </c>
    </row>
    <row r="81" spans="1:7" x14ac:dyDescent="0.3">
      <c r="A81" t="s">
        <v>109</v>
      </c>
      <c r="B81" t="s">
        <v>29</v>
      </c>
      <c r="C81" s="1">
        <v>45797</v>
      </c>
      <c r="D81" s="1">
        <v>45977</v>
      </c>
      <c r="E81">
        <v>470</v>
      </c>
      <c r="F81">
        <v>58529</v>
      </c>
      <c r="G81" t="s">
        <v>20</v>
      </c>
    </row>
    <row r="82" spans="1:7" x14ac:dyDescent="0.3">
      <c r="A82" t="s">
        <v>110</v>
      </c>
      <c r="B82" t="s">
        <v>74</v>
      </c>
      <c r="C82" s="1">
        <v>45818</v>
      </c>
      <c r="D82" s="1">
        <v>45944</v>
      </c>
      <c r="E82">
        <v>430</v>
      </c>
      <c r="F82">
        <v>59311</v>
      </c>
      <c r="G82" t="s">
        <v>15</v>
      </c>
    </row>
    <row r="83" spans="1:7" x14ac:dyDescent="0.3">
      <c r="A83" t="s">
        <v>111</v>
      </c>
      <c r="B83" t="s">
        <v>34</v>
      </c>
      <c r="C83" s="1">
        <v>45710</v>
      </c>
      <c r="D83" s="1">
        <v>45853</v>
      </c>
      <c r="E83">
        <v>133</v>
      </c>
      <c r="F83">
        <v>42065</v>
      </c>
      <c r="G83" t="s">
        <v>9</v>
      </c>
    </row>
    <row r="84" spans="1:7" x14ac:dyDescent="0.3">
      <c r="A84" t="s">
        <v>112</v>
      </c>
      <c r="B84" t="s">
        <v>27</v>
      </c>
      <c r="C84" s="1">
        <v>45727</v>
      </c>
      <c r="D84" s="1">
        <v>45894</v>
      </c>
      <c r="E84">
        <v>587</v>
      </c>
      <c r="F84">
        <v>33068</v>
      </c>
      <c r="G84" t="s">
        <v>131</v>
      </c>
    </row>
    <row r="85" spans="1:7" x14ac:dyDescent="0.3">
      <c r="A85" t="s">
        <v>113</v>
      </c>
      <c r="B85" t="s">
        <v>25</v>
      </c>
      <c r="C85" s="1">
        <v>45783</v>
      </c>
      <c r="D85" s="1">
        <v>45861</v>
      </c>
      <c r="E85">
        <v>909</v>
      </c>
      <c r="F85">
        <v>13268</v>
      </c>
      <c r="G85" t="s">
        <v>20</v>
      </c>
    </row>
    <row r="86" spans="1:7" x14ac:dyDescent="0.3">
      <c r="A86" t="s">
        <v>114</v>
      </c>
      <c r="B86" t="s">
        <v>86</v>
      </c>
      <c r="C86" s="1">
        <v>46001</v>
      </c>
      <c r="D86" s="1">
        <v>46112</v>
      </c>
      <c r="E86">
        <v>498</v>
      </c>
      <c r="F86">
        <v>39908</v>
      </c>
      <c r="G86" t="s">
        <v>15</v>
      </c>
    </row>
    <row r="87" spans="1:7" x14ac:dyDescent="0.3">
      <c r="A87" t="s">
        <v>115</v>
      </c>
      <c r="B87" t="s">
        <v>34</v>
      </c>
      <c r="C87" s="1">
        <v>45719</v>
      </c>
      <c r="D87" s="1">
        <v>45830</v>
      </c>
      <c r="E87">
        <v>726</v>
      </c>
      <c r="F87">
        <v>52656</v>
      </c>
      <c r="G87" t="s">
        <v>12</v>
      </c>
    </row>
    <row r="88" spans="1:7" x14ac:dyDescent="0.3">
      <c r="A88" t="s">
        <v>116</v>
      </c>
      <c r="B88" t="s">
        <v>74</v>
      </c>
      <c r="C88" s="1">
        <v>45690</v>
      </c>
      <c r="D88" s="1">
        <v>45791</v>
      </c>
      <c r="E88">
        <v>690</v>
      </c>
      <c r="F88">
        <v>127031</v>
      </c>
      <c r="G88" t="s">
        <v>9</v>
      </c>
    </row>
    <row r="89" spans="1:7" x14ac:dyDescent="0.3">
      <c r="A89" t="s">
        <v>117</v>
      </c>
      <c r="B89" t="s">
        <v>34</v>
      </c>
      <c r="C89" s="1">
        <v>45756</v>
      </c>
      <c r="D89" s="1">
        <v>45875</v>
      </c>
      <c r="E89">
        <v>261</v>
      </c>
      <c r="F89">
        <v>27409</v>
      </c>
      <c r="G89" t="s">
        <v>20</v>
      </c>
    </row>
    <row r="90" spans="1:7" x14ac:dyDescent="0.3">
      <c r="A90" t="s">
        <v>118</v>
      </c>
      <c r="B90" t="s">
        <v>38</v>
      </c>
      <c r="C90" s="1">
        <v>45674</v>
      </c>
      <c r="D90" s="1">
        <v>45833</v>
      </c>
      <c r="E90">
        <v>790</v>
      </c>
      <c r="F90">
        <v>136779</v>
      </c>
      <c r="G90" t="s">
        <v>15</v>
      </c>
    </row>
    <row r="91" spans="1:7" x14ac:dyDescent="0.3">
      <c r="A91" t="s">
        <v>119</v>
      </c>
      <c r="B91" t="s">
        <v>14</v>
      </c>
      <c r="C91" s="1">
        <v>45838</v>
      </c>
      <c r="D91" s="1">
        <v>45968</v>
      </c>
      <c r="E91">
        <v>247</v>
      </c>
      <c r="F91">
        <v>10157</v>
      </c>
      <c r="G91" t="s">
        <v>15</v>
      </c>
    </row>
    <row r="92" spans="1:7" x14ac:dyDescent="0.3">
      <c r="A92" t="s">
        <v>120</v>
      </c>
      <c r="B92" t="s">
        <v>50</v>
      </c>
      <c r="C92" s="1">
        <v>45783</v>
      </c>
      <c r="D92" s="1">
        <v>45831</v>
      </c>
      <c r="E92">
        <v>651</v>
      </c>
      <c r="F92">
        <v>116420</v>
      </c>
      <c r="G92" t="s">
        <v>9</v>
      </c>
    </row>
    <row r="93" spans="1:7" x14ac:dyDescent="0.3">
      <c r="A93" t="s">
        <v>121</v>
      </c>
      <c r="B93" t="s">
        <v>41</v>
      </c>
      <c r="C93" s="1">
        <v>45866</v>
      </c>
      <c r="D93" s="1">
        <v>45955</v>
      </c>
      <c r="E93">
        <v>257</v>
      </c>
      <c r="F93">
        <v>78543</v>
      </c>
      <c r="G93" t="s">
        <v>20</v>
      </c>
    </row>
    <row r="94" spans="1:7" x14ac:dyDescent="0.3">
      <c r="A94" t="s">
        <v>122</v>
      </c>
      <c r="B94" t="s">
        <v>50</v>
      </c>
      <c r="C94" s="1">
        <v>45683</v>
      </c>
      <c r="D94" s="1">
        <v>45767</v>
      </c>
      <c r="E94">
        <v>208</v>
      </c>
      <c r="F94">
        <v>38121</v>
      </c>
      <c r="G94" t="s">
        <v>15</v>
      </c>
    </row>
    <row r="95" spans="1:7" x14ac:dyDescent="0.3">
      <c r="A95" t="s">
        <v>123</v>
      </c>
      <c r="B95" t="s">
        <v>38</v>
      </c>
      <c r="C95" s="1">
        <v>45827</v>
      </c>
      <c r="D95" s="1">
        <v>45930</v>
      </c>
      <c r="E95">
        <v>592</v>
      </c>
      <c r="F95">
        <v>95081</v>
      </c>
      <c r="G95" t="s">
        <v>15</v>
      </c>
    </row>
    <row r="96" spans="1:7" x14ac:dyDescent="0.3">
      <c r="A96" t="s">
        <v>124</v>
      </c>
      <c r="B96" t="s">
        <v>45</v>
      </c>
      <c r="C96" s="1">
        <v>45875</v>
      </c>
      <c r="D96" s="1">
        <v>45982</v>
      </c>
      <c r="E96">
        <v>761</v>
      </c>
      <c r="F96">
        <v>101231</v>
      </c>
      <c r="G96" t="s">
        <v>9</v>
      </c>
    </row>
    <row r="97" spans="1:7" x14ac:dyDescent="0.3">
      <c r="A97" t="s">
        <v>125</v>
      </c>
      <c r="B97" t="s">
        <v>8</v>
      </c>
      <c r="C97" s="1">
        <v>45877</v>
      </c>
      <c r="D97" s="1">
        <v>46038</v>
      </c>
      <c r="E97">
        <v>651</v>
      </c>
      <c r="F97">
        <v>136217</v>
      </c>
      <c r="G97" t="s">
        <v>12</v>
      </c>
    </row>
    <row r="98" spans="1:7" x14ac:dyDescent="0.3">
      <c r="A98" t="s">
        <v>126</v>
      </c>
      <c r="B98" t="s">
        <v>34</v>
      </c>
      <c r="C98" s="1">
        <v>45682</v>
      </c>
      <c r="D98" s="1">
        <v>45796</v>
      </c>
      <c r="E98">
        <v>610</v>
      </c>
      <c r="F98">
        <v>53706</v>
      </c>
      <c r="G98" t="s">
        <v>15</v>
      </c>
    </row>
    <row r="99" spans="1:7" x14ac:dyDescent="0.3">
      <c r="A99" t="s">
        <v>127</v>
      </c>
      <c r="B99" t="s">
        <v>11</v>
      </c>
      <c r="C99" s="1">
        <v>45863</v>
      </c>
      <c r="D99" s="1">
        <v>45953</v>
      </c>
      <c r="E99">
        <v>492</v>
      </c>
      <c r="F99">
        <v>130917</v>
      </c>
      <c r="G99" t="s">
        <v>9</v>
      </c>
    </row>
    <row r="100" spans="1:7" x14ac:dyDescent="0.3">
      <c r="A100" t="s">
        <v>128</v>
      </c>
      <c r="B100" t="s">
        <v>57</v>
      </c>
      <c r="C100" s="1">
        <v>45856</v>
      </c>
      <c r="D100" s="1">
        <v>45948</v>
      </c>
      <c r="E100">
        <v>829</v>
      </c>
      <c r="F100">
        <v>19209</v>
      </c>
      <c r="G100" t="s">
        <v>15</v>
      </c>
    </row>
    <row r="101" spans="1:7" x14ac:dyDescent="0.3">
      <c r="A101" t="s">
        <v>129</v>
      </c>
      <c r="B101" t="s">
        <v>38</v>
      </c>
      <c r="C101" s="1">
        <v>45852</v>
      </c>
      <c r="D101" s="1">
        <v>45991</v>
      </c>
      <c r="E101">
        <v>166</v>
      </c>
      <c r="F101">
        <v>61314</v>
      </c>
      <c r="G1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opLeftCell="A90" workbookViewId="0">
      <selection sqref="A1:G101"/>
    </sheetView>
  </sheetViews>
  <sheetFormatPr defaultRowHeight="14.4" x14ac:dyDescent="0.3"/>
  <cols>
    <col min="1" max="1" width="11.21875" customWidth="1"/>
    <col min="3" max="3" width="12.6640625" customWidth="1"/>
    <col min="4" max="4" width="14" customWidth="1"/>
    <col min="5" max="5" width="12.77734375" customWidth="1"/>
    <col min="6" max="6" width="12.88671875" customWidth="1"/>
    <col min="7" max="7" width="11.4414062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tr">
        <f>"P"&amp;TEXT(ROW()-1,"000")</f>
        <v>P001</v>
      </c>
      <c r="B2" t="str">
        <f ca="1">"C"&amp;TEXT(RANDBETWEEN(1,20),"000")</f>
        <v>C012</v>
      </c>
      <c r="C2" s="1">
        <f ca="1">DATE(2025,1,1)+RANDBETWEEN(0,365)</f>
        <v>45699</v>
      </c>
      <c r="D2" s="1">
        <f ca="1">C2+RANDBETWEEN(30,180)</f>
        <v>45796</v>
      </c>
      <c r="E2">
        <f ca="1">RANDBETWEEN(100,1000)</f>
        <v>823</v>
      </c>
      <c r="F2">
        <f ca="1">RANDBETWEEN(10000,150000)</f>
        <v>98884</v>
      </c>
      <c r="G2" t="str">
        <f ca="1">CHOOSE(RANDBETWEEN(1,4),"Active","Completed","Delayed","On Hold")</f>
        <v>Completed</v>
      </c>
    </row>
    <row r="3" spans="1:7" x14ac:dyDescent="0.3">
      <c r="A3" t="str">
        <f t="shared" ref="A3:A66" si="0">"P"&amp;TEXT(ROW()-1,"000")</f>
        <v>P002</v>
      </c>
      <c r="B3" t="str">
        <f t="shared" ref="B3:B66" ca="1" si="1">"C"&amp;TEXT(RANDBETWEEN(1,20),"000")</f>
        <v>C002</v>
      </c>
      <c r="C3" s="1">
        <f t="shared" ref="C3:C66" ca="1" si="2">DATE(2025,1,1)+RANDBETWEEN(0,365)</f>
        <v>45678</v>
      </c>
      <c r="D3" s="1">
        <f t="shared" ref="D3:D66" ca="1" si="3">C3+RANDBETWEEN(30,180)</f>
        <v>45735</v>
      </c>
      <c r="E3">
        <f t="shared" ref="E3:E66" ca="1" si="4">RANDBETWEEN(100,1000)</f>
        <v>796</v>
      </c>
      <c r="F3">
        <f t="shared" ref="F3:F66" ca="1" si="5">RANDBETWEEN(10000,150000)</f>
        <v>31305</v>
      </c>
      <c r="G3" t="str">
        <f t="shared" ref="G3:G66" ca="1" si="6">CHOOSE(RANDBETWEEN(1,4),"Active","Completed","Delayed","On Hold")</f>
        <v>On Hold</v>
      </c>
    </row>
    <row r="4" spans="1:7" x14ac:dyDescent="0.3">
      <c r="A4" t="str">
        <f t="shared" si="0"/>
        <v>P003</v>
      </c>
      <c r="B4" t="str">
        <f t="shared" ca="1" si="1"/>
        <v>C016</v>
      </c>
      <c r="C4" s="1">
        <f t="shared" ca="1" si="2"/>
        <v>45822</v>
      </c>
      <c r="D4" s="1">
        <f t="shared" ca="1" si="3"/>
        <v>45950</v>
      </c>
      <c r="E4">
        <f t="shared" ca="1" si="4"/>
        <v>671</v>
      </c>
      <c r="F4">
        <f t="shared" ca="1" si="5"/>
        <v>145098</v>
      </c>
      <c r="G4" t="str">
        <f t="shared" ca="1" si="6"/>
        <v>Active</v>
      </c>
    </row>
    <row r="5" spans="1:7" x14ac:dyDescent="0.3">
      <c r="A5" t="str">
        <f t="shared" si="0"/>
        <v>P004</v>
      </c>
      <c r="B5" t="str">
        <f t="shared" ca="1" si="1"/>
        <v>C012</v>
      </c>
      <c r="C5" s="1">
        <f t="shared" ca="1" si="2"/>
        <v>45669</v>
      </c>
      <c r="D5" s="1">
        <f t="shared" ca="1" si="3"/>
        <v>45715</v>
      </c>
      <c r="E5">
        <f t="shared" ca="1" si="4"/>
        <v>164</v>
      </c>
      <c r="F5">
        <f t="shared" ca="1" si="5"/>
        <v>131989</v>
      </c>
      <c r="G5" t="str">
        <f t="shared" ca="1" si="6"/>
        <v>Delayed</v>
      </c>
    </row>
    <row r="6" spans="1:7" x14ac:dyDescent="0.3">
      <c r="A6" t="str">
        <f t="shared" si="0"/>
        <v>P005</v>
      </c>
      <c r="B6" t="str">
        <f t="shared" ca="1" si="1"/>
        <v>C001</v>
      </c>
      <c r="C6" s="1">
        <f t="shared" ca="1" si="2"/>
        <v>45862</v>
      </c>
      <c r="D6" s="1">
        <f t="shared" ca="1" si="3"/>
        <v>45941</v>
      </c>
      <c r="E6">
        <f t="shared" ca="1" si="4"/>
        <v>308</v>
      </c>
      <c r="F6">
        <f t="shared" ca="1" si="5"/>
        <v>125763</v>
      </c>
      <c r="G6" t="str">
        <f t="shared" ca="1" si="6"/>
        <v>Delayed</v>
      </c>
    </row>
    <row r="7" spans="1:7" x14ac:dyDescent="0.3">
      <c r="A7" t="str">
        <f t="shared" si="0"/>
        <v>P006</v>
      </c>
      <c r="B7" t="str">
        <f t="shared" ca="1" si="1"/>
        <v>C016</v>
      </c>
      <c r="C7" s="1">
        <f t="shared" ca="1" si="2"/>
        <v>46001</v>
      </c>
      <c r="D7" s="1">
        <f t="shared" ca="1" si="3"/>
        <v>46093</v>
      </c>
      <c r="E7">
        <f t="shared" ca="1" si="4"/>
        <v>261</v>
      </c>
      <c r="F7">
        <f t="shared" ca="1" si="5"/>
        <v>17856</v>
      </c>
      <c r="G7" t="str">
        <f t="shared" ca="1" si="6"/>
        <v>Completed</v>
      </c>
    </row>
    <row r="8" spans="1:7" x14ac:dyDescent="0.3">
      <c r="A8" t="str">
        <f t="shared" si="0"/>
        <v>P007</v>
      </c>
      <c r="B8" t="str">
        <f t="shared" ca="1" si="1"/>
        <v>C020</v>
      </c>
      <c r="C8" s="1">
        <f t="shared" ca="1" si="2"/>
        <v>45966</v>
      </c>
      <c r="D8" s="1">
        <f t="shared" ca="1" si="3"/>
        <v>46113</v>
      </c>
      <c r="E8">
        <f t="shared" ca="1" si="4"/>
        <v>989</v>
      </c>
      <c r="F8">
        <f t="shared" ca="1" si="5"/>
        <v>96525</v>
      </c>
      <c r="G8" t="str">
        <f t="shared" ca="1" si="6"/>
        <v>Completed</v>
      </c>
    </row>
    <row r="9" spans="1:7" x14ac:dyDescent="0.3">
      <c r="A9" t="str">
        <f t="shared" si="0"/>
        <v>P008</v>
      </c>
      <c r="B9" t="str">
        <f t="shared" ca="1" si="1"/>
        <v>C018</v>
      </c>
      <c r="C9" s="1">
        <f t="shared" ca="1" si="2"/>
        <v>45918</v>
      </c>
      <c r="D9" s="1">
        <f t="shared" ca="1" si="3"/>
        <v>45950</v>
      </c>
      <c r="E9">
        <f t="shared" ca="1" si="4"/>
        <v>536</v>
      </c>
      <c r="F9">
        <f t="shared" ca="1" si="5"/>
        <v>60330</v>
      </c>
      <c r="G9" t="str">
        <f t="shared" ca="1" si="6"/>
        <v>On Hold</v>
      </c>
    </row>
    <row r="10" spans="1:7" x14ac:dyDescent="0.3">
      <c r="A10" t="str">
        <f t="shared" si="0"/>
        <v>P009</v>
      </c>
      <c r="B10" t="str">
        <f t="shared" ca="1" si="1"/>
        <v>C001</v>
      </c>
      <c r="C10" s="1">
        <f t="shared" ca="1" si="2"/>
        <v>45670</v>
      </c>
      <c r="D10" s="1">
        <f t="shared" ca="1" si="3"/>
        <v>45831</v>
      </c>
      <c r="E10">
        <f t="shared" ca="1" si="4"/>
        <v>138</v>
      </c>
      <c r="F10">
        <f t="shared" ca="1" si="5"/>
        <v>57759</v>
      </c>
      <c r="G10" t="str">
        <f t="shared" ca="1" si="6"/>
        <v>Completed</v>
      </c>
    </row>
    <row r="11" spans="1:7" x14ac:dyDescent="0.3">
      <c r="A11" t="str">
        <f t="shared" si="0"/>
        <v>P010</v>
      </c>
      <c r="B11" t="str">
        <f t="shared" ca="1" si="1"/>
        <v>C017</v>
      </c>
      <c r="C11" s="1">
        <f t="shared" ca="1" si="2"/>
        <v>45953</v>
      </c>
      <c r="D11" s="1">
        <f t="shared" ca="1" si="3"/>
        <v>46021</v>
      </c>
      <c r="E11">
        <f t="shared" ca="1" si="4"/>
        <v>451</v>
      </c>
      <c r="F11">
        <f t="shared" ca="1" si="5"/>
        <v>39255</v>
      </c>
      <c r="G11" t="str">
        <f t="shared" ca="1" si="6"/>
        <v>Completed</v>
      </c>
    </row>
    <row r="12" spans="1:7" x14ac:dyDescent="0.3">
      <c r="A12" t="str">
        <f t="shared" si="0"/>
        <v>P011</v>
      </c>
      <c r="B12" t="str">
        <f t="shared" ca="1" si="1"/>
        <v>C015</v>
      </c>
      <c r="C12" s="1">
        <f t="shared" ca="1" si="2"/>
        <v>45930</v>
      </c>
      <c r="D12" s="1">
        <f t="shared" ca="1" si="3"/>
        <v>45967</v>
      </c>
      <c r="E12">
        <f t="shared" ca="1" si="4"/>
        <v>510</v>
      </c>
      <c r="F12">
        <f t="shared" ca="1" si="5"/>
        <v>12279</v>
      </c>
      <c r="G12" t="str">
        <f t="shared" ca="1" si="6"/>
        <v>Delayed</v>
      </c>
    </row>
    <row r="13" spans="1:7" x14ac:dyDescent="0.3">
      <c r="A13" t="str">
        <f t="shared" si="0"/>
        <v>P012</v>
      </c>
      <c r="B13" t="str">
        <f t="shared" ca="1" si="1"/>
        <v>C016</v>
      </c>
      <c r="C13" s="1">
        <f t="shared" ca="1" si="2"/>
        <v>45846</v>
      </c>
      <c r="D13" s="1">
        <f t="shared" ca="1" si="3"/>
        <v>46016</v>
      </c>
      <c r="E13">
        <f t="shared" ca="1" si="4"/>
        <v>476</v>
      </c>
      <c r="F13">
        <f t="shared" ca="1" si="5"/>
        <v>12472</v>
      </c>
      <c r="G13" t="str">
        <f t="shared" ca="1" si="6"/>
        <v>On Hold</v>
      </c>
    </row>
    <row r="14" spans="1:7" x14ac:dyDescent="0.3">
      <c r="A14" t="str">
        <f t="shared" si="0"/>
        <v>P013</v>
      </c>
      <c r="B14" t="str">
        <f t="shared" ca="1" si="1"/>
        <v>C017</v>
      </c>
      <c r="C14" s="1">
        <f t="shared" ca="1" si="2"/>
        <v>45847</v>
      </c>
      <c r="D14" s="1">
        <f t="shared" ca="1" si="3"/>
        <v>46007</v>
      </c>
      <c r="E14">
        <f t="shared" ca="1" si="4"/>
        <v>910</v>
      </c>
      <c r="F14">
        <f t="shared" ca="1" si="5"/>
        <v>55005</v>
      </c>
      <c r="G14" t="str">
        <f t="shared" ca="1" si="6"/>
        <v>On Hold</v>
      </c>
    </row>
    <row r="15" spans="1:7" x14ac:dyDescent="0.3">
      <c r="A15" t="str">
        <f t="shared" si="0"/>
        <v>P014</v>
      </c>
      <c r="B15" t="str">
        <f t="shared" ca="1" si="1"/>
        <v>C018</v>
      </c>
      <c r="C15" s="1">
        <f t="shared" ca="1" si="2"/>
        <v>45744</v>
      </c>
      <c r="D15" s="1">
        <f t="shared" ca="1" si="3"/>
        <v>45828</v>
      </c>
      <c r="E15">
        <f t="shared" ca="1" si="4"/>
        <v>884</v>
      </c>
      <c r="F15">
        <f t="shared" ca="1" si="5"/>
        <v>92976</v>
      </c>
      <c r="G15" t="str">
        <f t="shared" ca="1" si="6"/>
        <v>Active</v>
      </c>
    </row>
    <row r="16" spans="1:7" x14ac:dyDescent="0.3">
      <c r="A16" t="str">
        <f t="shared" si="0"/>
        <v>P015</v>
      </c>
      <c r="B16" t="str">
        <f t="shared" ca="1" si="1"/>
        <v>C002</v>
      </c>
      <c r="C16" s="1">
        <f t="shared" ca="1" si="2"/>
        <v>46013</v>
      </c>
      <c r="D16" s="1">
        <f t="shared" ca="1" si="3"/>
        <v>46064</v>
      </c>
      <c r="E16">
        <f t="shared" ca="1" si="4"/>
        <v>250</v>
      </c>
      <c r="F16">
        <f t="shared" ca="1" si="5"/>
        <v>68724</v>
      </c>
      <c r="G16" t="str">
        <f t="shared" ca="1" si="6"/>
        <v>Delayed</v>
      </c>
    </row>
    <row r="17" spans="1:7" x14ac:dyDescent="0.3">
      <c r="A17" t="str">
        <f t="shared" si="0"/>
        <v>P016</v>
      </c>
      <c r="B17" t="str">
        <f t="shared" ca="1" si="1"/>
        <v>C016</v>
      </c>
      <c r="C17" s="1">
        <f t="shared" ca="1" si="2"/>
        <v>45699</v>
      </c>
      <c r="D17" s="1">
        <f t="shared" ca="1" si="3"/>
        <v>45852</v>
      </c>
      <c r="E17">
        <f t="shared" ca="1" si="4"/>
        <v>441</v>
      </c>
      <c r="F17">
        <f t="shared" ca="1" si="5"/>
        <v>129008</v>
      </c>
      <c r="G17" t="str">
        <f t="shared" ca="1" si="6"/>
        <v>Active</v>
      </c>
    </row>
    <row r="18" spans="1:7" x14ac:dyDescent="0.3">
      <c r="A18" t="str">
        <f t="shared" si="0"/>
        <v>P017</v>
      </c>
      <c r="B18" t="str">
        <f t="shared" ca="1" si="1"/>
        <v>C011</v>
      </c>
      <c r="C18" s="1">
        <f t="shared" ca="1" si="2"/>
        <v>45779</v>
      </c>
      <c r="D18" s="1">
        <f t="shared" ca="1" si="3"/>
        <v>45900</v>
      </c>
      <c r="E18">
        <f t="shared" ca="1" si="4"/>
        <v>299</v>
      </c>
      <c r="F18">
        <f t="shared" ca="1" si="5"/>
        <v>28502</v>
      </c>
      <c r="G18" t="str">
        <f t="shared" ca="1" si="6"/>
        <v>Active</v>
      </c>
    </row>
    <row r="19" spans="1:7" x14ac:dyDescent="0.3">
      <c r="A19" t="str">
        <f t="shared" si="0"/>
        <v>P018</v>
      </c>
      <c r="B19" t="str">
        <f t="shared" ca="1" si="1"/>
        <v>C006</v>
      </c>
      <c r="C19" s="1">
        <f t="shared" ca="1" si="2"/>
        <v>45710</v>
      </c>
      <c r="D19" s="1">
        <f t="shared" ca="1" si="3"/>
        <v>45807</v>
      </c>
      <c r="E19">
        <f t="shared" ca="1" si="4"/>
        <v>256</v>
      </c>
      <c r="F19">
        <f t="shared" ca="1" si="5"/>
        <v>139836</v>
      </c>
      <c r="G19" t="str">
        <f t="shared" ca="1" si="6"/>
        <v>Active</v>
      </c>
    </row>
    <row r="20" spans="1:7" x14ac:dyDescent="0.3">
      <c r="A20" t="str">
        <f t="shared" si="0"/>
        <v>P019</v>
      </c>
      <c r="B20" t="str">
        <f t="shared" ca="1" si="1"/>
        <v>C004</v>
      </c>
      <c r="C20" s="1">
        <f t="shared" ca="1" si="2"/>
        <v>45694</v>
      </c>
      <c r="D20" s="1">
        <f t="shared" ca="1" si="3"/>
        <v>45734</v>
      </c>
      <c r="E20">
        <f t="shared" ca="1" si="4"/>
        <v>298</v>
      </c>
      <c r="F20">
        <f t="shared" ca="1" si="5"/>
        <v>97010</v>
      </c>
      <c r="G20" t="str">
        <f t="shared" ca="1" si="6"/>
        <v>Active</v>
      </c>
    </row>
    <row r="21" spans="1:7" x14ac:dyDescent="0.3">
      <c r="A21" t="str">
        <f t="shared" si="0"/>
        <v>P020</v>
      </c>
      <c r="B21" t="str">
        <f t="shared" ca="1" si="1"/>
        <v>C001</v>
      </c>
      <c r="C21" s="1">
        <f t="shared" ca="1" si="2"/>
        <v>45745</v>
      </c>
      <c r="D21" s="1">
        <f t="shared" ca="1" si="3"/>
        <v>45924</v>
      </c>
      <c r="E21">
        <f t="shared" ca="1" si="4"/>
        <v>656</v>
      </c>
      <c r="F21">
        <f t="shared" ca="1" si="5"/>
        <v>42178</v>
      </c>
      <c r="G21" t="str">
        <f t="shared" ca="1" si="6"/>
        <v>Completed</v>
      </c>
    </row>
    <row r="22" spans="1:7" x14ac:dyDescent="0.3">
      <c r="A22" t="str">
        <f t="shared" si="0"/>
        <v>P021</v>
      </c>
      <c r="B22" t="str">
        <f t="shared" ca="1" si="1"/>
        <v>C009</v>
      </c>
      <c r="C22" s="1">
        <f t="shared" ca="1" si="2"/>
        <v>46019</v>
      </c>
      <c r="D22" s="1">
        <f t="shared" ca="1" si="3"/>
        <v>46091</v>
      </c>
      <c r="E22">
        <f t="shared" ca="1" si="4"/>
        <v>572</v>
      </c>
      <c r="F22">
        <f t="shared" ca="1" si="5"/>
        <v>133075</v>
      </c>
      <c r="G22" t="str">
        <f t="shared" ca="1" si="6"/>
        <v>Delayed</v>
      </c>
    </row>
    <row r="23" spans="1:7" x14ac:dyDescent="0.3">
      <c r="A23" t="str">
        <f t="shared" si="0"/>
        <v>P022</v>
      </c>
      <c r="B23" t="str">
        <f t="shared" ca="1" si="1"/>
        <v>C004</v>
      </c>
      <c r="C23" s="1">
        <f t="shared" ca="1" si="2"/>
        <v>45848</v>
      </c>
      <c r="D23" s="1">
        <f t="shared" ca="1" si="3"/>
        <v>45958</v>
      </c>
      <c r="E23">
        <f t="shared" ca="1" si="4"/>
        <v>917</v>
      </c>
      <c r="F23">
        <f t="shared" ca="1" si="5"/>
        <v>23903</v>
      </c>
      <c r="G23" t="str">
        <f t="shared" ca="1" si="6"/>
        <v>On Hold</v>
      </c>
    </row>
    <row r="24" spans="1:7" x14ac:dyDescent="0.3">
      <c r="A24" t="str">
        <f t="shared" si="0"/>
        <v>P023</v>
      </c>
      <c r="B24" t="str">
        <f t="shared" ca="1" si="1"/>
        <v>C018</v>
      </c>
      <c r="C24" s="1">
        <f t="shared" ca="1" si="2"/>
        <v>45918</v>
      </c>
      <c r="D24" s="1">
        <f t="shared" ca="1" si="3"/>
        <v>46053</v>
      </c>
      <c r="E24">
        <f t="shared" ca="1" si="4"/>
        <v>345</v>
      </c>
      <c r="F24">
        <f t="shared" ca="1" si="5"/>
        <v>116217</v>
      </c>
      <c r="G24" t="str">
        <f t="shared" ca="1" si="6"/>
        <v>On Hold</v>
      </c>
    </row>
    <row r="25" spans="1:7" x14ac:dyDescent="0.3">
      <c r="A25" t="str">
        <f t="shared" si="0"/>
        <v>P024</v>
      </c>
      <c r="B25" t="str">
        <f t="shared" ca="1" si="1"/>
        <v>C003</v>
      </c>
      <c r="C25" s="1">
        <f t="shared" ca="1" si="2"/>
        <v>45659</v>
      </c>
      <c r="D25" s="1">
        <f t="shared" ca="1" si="3"/>
        <v>45804</v>
      </c>
      <c r="E25">
        <f t="shared" ca="1" si="4"/>
        <v>730</v>
      </c>
      <c r="F25">
        <f t="shared" ca="1" si="5"/>
        <v>14439</v>
      </c>
      <c r="G25" t="str">
        <f t="shared" ca="1" si="6"/>
        <v>Active</v>
      </c>
    </row>
    <row r="26" spans="1:7" x14ac:dyDescent="0.3">
      <c r="A26" t="str">
        <f t="shared" si="0"/>
        <v>P025</v>
      </c>
      <c r="B26" t="str">
        <f t="shared" ca="1" si="1"/>
        <v>C020</v>
      </c>
      <c r="C26" s="1">
        <f t="shared" ca="1" si="2"/>
        <v>45946</v>
      </c>
      <c r="D26" s="1">
        <f t="shared" ca="1" si="3"/>
        <v>46116</v>
      </c>
      <c r="E26">
        <f t="shared" ca="1" si="4"/>
        <v>276</v>
      </c>
      <c r="F26">
        <f t="shared" ca="1" si="5"/>
        <v>34827</v>
      </c>
      <c r="G26" t="str">
        <f t="shared" ca="1" si="6"/>
        <v>Completed</v>
      </c>
    </row>
    <row r="27" spans="1:7" x14ac:dyDescent="0.3">
      <c r="A27" t="str">
        <f t="shared" si="0"/>
        <v>P026</v>
      </c>
      <c r="B27" t="str">
        <f t="shared" ca="1" si="1"/>
        <v>C017</v>
      </c>
      <c r="C27" s="1">
        <f t="shared" ca="1" si="2"/>
        <v>45771</v>
      </c>
      <c r="D27" s="1">
        <f t="shared" ca="1" si="3"/>
        <v>45922</v>
      </c>
      <c r="E27">
        <f t="shared" ca="1" si="4"/>
        <v>575</v>
      </c>
      <c r="F27">
        <f t="shared" ca="1" si="5"/>
        <v>139295</v>
      </c>
      <c r="G27" t="str">
        <f t="shared" ca="1" si="6"/>
        <v>On Hold</v>
      </c>
    </row>
    <row r="28" spans="1:7" x14ac:dyDescent="0.3">
      <c r="A28" t="str">
        <f t="shared" si="0"/>
        <v>P027</v>
      </c>
      <c r="B28" t="str">
        <f t="shared" ca="1" si="1"/>
        <v>C009</v>
      </c>
      <c r="C28" s="1">
        <f t="shared" ca="1" si="2"/>
        <v>45885</v>
      </c>
      <c r="D28" s="1">
        <f t="shared" ca="1" si="3"/>
        <v>46029</v>
      </c>
      <c r="E28">
        <f t="shared" ca="1" si="4"/>
        <v>411</v>
      </c>
      <c r="F28">
        <f t="shared" ca="1" si="5"/>
        <v>114118</v>
      </c>
      <c r="G28" t="str">
        <f t="shared" ca="1" si="6"/>
        <v>Active</v>
      </c>
    </row>
    <row r="29" spans="1:7" x14ac:dyDescent="0.3">
      <c r="A29" t="str">
        <f t="shared" si="0"/>
        <v>P028</v>
      </c>
      <c r="B29" t="str">
        <f t="shared" ca="1" si="1"/>
        <v>C002</v>
      </c>
      <c r="C29" s="1">
        <f t="shared" ca="1" si="2"/>
        <v>45740</v>
      </c>
      <c r="D29" s="1">
        <f t="shared" ca="1" si="3"/>
        <v>45840</v>
      </c>
      <c r="E29">
        <f t="shared" ca="1" si="4"/>
        <v>807</v>
      </c>
      <c r="F29">
        <f t="shared" ca="1" si="5"/>
        <v>77854</v>
      </c>
      <c r="G29" t="str">
        <f t="shared" ca="1" si="6"/>
        <v>Active</v>
      </c>
    </row>
    <row r="30" spans="1:7" x14ac:dyDescent="0.3">
      <c r="A30" t="str">
        <f t="shared" si="0"/>
        <v>P029</v>
      </c>
      <c r="B30" t="str">
        <f t="shared" ca="1" si="1"/>
        <v>C018</v>
      </c>
      <c r="C30" s="1">
        <f t="shared" ca="1" si="2"/>
        <v>45688</v>
      </c>
      <c r="D30" s="1">
        <f t="shared" ca="1" si="3"/>
        <v>45845</v>
      </c>
      <c r="E30">
        <f t="shared" ca="1" si="4"/>
        <v>510</v>
      </c>
      <c r="F30">
        <f t="shared" ca="1" si="5"/>
        <v>118737</v>
      </c>
      <c r="G30" t="str">
        <f t="shared" ca="1" si="6"/>
        <v>Delayed</v>
      </c>
    </row>
    <row r="31" spans="1:7" x14ac:dyDescent="0.3">
      <c r="A31" t="str">
        <f t="shared" si="0"/>
        <v>P030</v>
      </c>
      <c r="B31" t="str">
        <f t="shared" ca="1" si="1"/>
        <v>C010</v>
      </c>
      <c r="C31" s="1">
        <f t="shared" ca="1" si="2"/>
        <v>45860</v>
      </c>
      <c r="D31" s="1">
        <f t="shared" ca="1" si="3"/>
        <v>45898</v>
      </c>
      <c r="E31">
        <f t="shared" ca="1" si="4"/>
        <v>577</v>
      </c>
      <c r="F31">
        <f t="shared" ca="1" si="5"/>
        <v>144686</v>
      </c>
      <c r="G31" t="str">
        <f t="shared" ca="1" si="6"/>
        <v>Active</v>
      </c>
    </row>
    <row r="32" spans="1:7" x14ac:dyDescent="0.3">
      <c r="A32" t="str">
        <f t="shared" si="0"/>
        <v>P031</v>
      </c>
      <c r="B32" t="str">
        <f t="shared" ca="1" si="1"/>
        <v>C016</v>
      </c>
      <c r="C32" s="1">
        <f t="shared" ca="1" si="2"/>
        <v>46023</v>
      </c>
      <c r="D32" s="1">
        <f t="shared" ca="1" si="3"/>
        <v>46057</v>
      </c>
      <c r="E32">
        <f t="shared" ca="1" si="4"/>
        <v>437</v>
      </c>
      <c r="F32">
        <f t="shared" ca="1" si="5"/>
        <v>146361</v>
      </c>
      <c r="G32" t="str">
        <f t="shared" ca="1" si="6"/>
        <v>Completed</v>
      </c>
    </row>
    <row r="33" spans="1:7" x14ac:dyDescent="0.3">
      <c r="A33" t="str">
        <f t="shared" si="0"/>
        <v>P032</v>
      </c>
      <c r="B33" t="str">
        <f t="shared" ca="1" si="1"/>
        <v>C008</v>
      </c>
      <c r="C33" s="1">
        <f t="shared" ca="1" si="2"/>
        <v>45931</v>
      </c>
      <c r="D33" s="1">
        <f t="shared" ca="1" si="3"/>
        <v>46048</v>
      </c>
      <c r="E33">
        <f t="shared" ca="1" si="4"/>
        <v>387</v>
      </c>
      <c r="F33">
        <f t="shared" ca="1" si="5"/>
        <v>68029</v>
      </c>
      <c r="G33" t="str">
        <f t="shared" ca="1" si="6"/>
        <v>On Hold</v>
      </c>
    </row>
    <row r="34" spans="1:7" x14ac:dyDescent="0.3">
      <c r="A34" t="str">
        <f t="shared" si="0"/>
        <v>P033</v>
      </c>
      <c r="B34" t="str">
        <f t="shared" ca="1" si="1"/>
        <v>C006</v>
      </c>
      <c r="C34" s="1">
        <f t="shared" ca="1" si="2"/>
        <v>45808</v>
      </c>
      <c r="D34" s="1">
        <f t="shared" ca="1" si="3"/>
        <v>45850</v>
      </c>
      <c r="E34">
        <f t="shared" ca="1" si="4"/>
        <v>539</v>
      </c>
      <c r="F34">
        <f t="shared" ca="1" si="5"/>
        <v>74120</v>
      </c>
      <c r="G34" t="str">
        <f t="shared" ca="1" si="6"/>
        <v>On Hold</v>
      </c>
    </row>
    <row r="35" spans="1:7" x14ac:dyDescent="0.3">
      <c r="A35" t="str">
        <f t="shared" si="0"/>
        <v>P034</v>
      </c>
      <c r="B35" t="str">
        <f t="shared" ca="1" si="1"/>
        <v>C007</v>
      </c>
      <c r="C35" s="1">
        <f t="shared" ca="1" si="2"/>
        <v>45971</v>
      </c>
      <c r="D35" s="1">
        <f t="shared" ca="1" si="3"/>
        <v>46147</v>
      </c>
      <c r="E35">
        <f t="shared" ca="1" si="4"/>
        <v>184</v>
      </c>
      <c r="F35">
        <f t="shared" ca="1" si="5"/>
        <v>16457</v>
      </c>
      <c r="G35" t="str">
        <f t="shared" ca="1" si="6"/>
        <v>Delayed</v>
      </c>
    </row>
    <row r="36" spans="1:7" x14ac:dyDescent="0.3">
      <c r="A36" t="str">
        <f t="shared" si="0"/>
        <v>P035</v>
      </c>
      <c r="B36" t="str">
        <f t="shared" ca="1" si="1"/>
        <v>C011</v>
      </c>
      <c r="C36" s="1">
        <f t="shared" ca="1" si="2"/>
        <v>45719</v>
      </c>
      <c r="D36" s="1">
        <f t="shared" ca="1" si="3"/>
        <v>45886</v>
      </c>
      <c r="E36">
        <f t="shared" ca="1" si="4"/>
        <v>529</v>
      </c>
      <c r="F36">
        <f t="shared" ca="1" si="5"/>
        <v>98808</v>
      </c>
      <c r="G36" t="str">
        <f t="shared" ca="1" si="6"/>
        <v>Active</v>
      </c>
    </row>
    <row r="37" spans="1:7" x14ac:dyDescent="0.3">
      <c r="A37" t="str">
        <f t="shared" si="0"/>
        <v>P036</v>
      </c>
      <c r="B37" t="str">
        <f t="shared" ca="1" si="1"/>
        <v>C004</v>
      </c>
      <c r="C37" s="1">
        <f t="shared" ca="1" si="2"/>
        <v>45814</v>
      </c>
      <c r="D37" s="1">
        <f t="shared" ca="1" si="3"/>
        <v>45955</v>
      </c>
      <c r="E37">
        <f t="shared" ca="1" si="4"/>
        <v>216</v>
      </c>
      <c r="F37">
        <f t="shared" ca="1" si="5"/>
        <v>35462</v>
      </c>
      <c r="G37" t="str">
        <f t="shared" ca="1" si="6"/>
        <v>Completed</v>
      </c>
    </row>
    <row r="38" spans="1:7" x14ac:dyDescent="0.3">
      <c r="A38" t="str">
        <f t="shared" si="0"/>
        <v>P037</v>
      </c>
      <c r="B38" t="str">
        <f t="shared" ca="1" si="1"/>
        <v>C010</v>
      </c>
      <c r="C38" s="1">
        <f t="shared" ca="1" si="2"/>
        <v>45969</v>
      </c>
      <c r="D38" s="1">
        <f t="shared" ca="1" si="3"/>
        <v>46058</v>
      </c>
      <c r="E38">
        <f t="shared" ca="1" si="4"/>
        <v>644</v>
      </c>
      <c r="F38">
        <f t="shared" ca="1" si="5"/>
        <v>82032</v>
      </c>
      <c r="G38" t="str">
        <f t="shared" ca="1" si="6"/>
        <v>Active</v>
      </c>
    </row>
    <row r="39" spans="1:7" x14ac:dyDescent="0.3">
      <c r="A39" t="str">
        <f t="shared" si="0"/>
        <v>P038</v>
      </c>
      <c r="B39" t="str">
        <f t="shared" ca="1" si="1"/>
        <v>C004</v>
      </c>
      <c r="C39" s="1">
        <f t="shared" ca="1" si="2"/>
        <v>45769</v>
      </c>
      <c r="D39" s="1">
        <f t="shared" ca="1" si="3"/>
        <v>45949</v>
      </c>
      <c r="E39">
        <f t="shared" ca="1" si="4"/>
        <v>660</v>
      </c>
      <c r="F39">
        <f t="shared" ca="1" si="5"/>
        <v>93862</v>
      </c>
      <c r="G39" t="str">
        <f t="shared" ca="1" si="6"/>
        <v>Active</v>
      </c>
    </row>
    <row r="40" spans="1:7" x14ac:dyDescent="0.3">
      <c r="A40" t="str">
        <f t="shared" si="0"/>
        <v>P039</v>
      </c>
      <c r="B40" t="str">
        <f t="shared" ca="1" si="1"/>
        <v>C007</v>
      </c>
      <c r="C40" s="1">
        <f t="shared" ca="1" si="2"/>
        <v>45678</v>
      </c>
      <c r="D40" s="1">
        <f t="shared" ca="1" si="3"/>
        <v>45780</v>
      </c>
      <c r="E40">
        <f t="shared" ca="1" si="4"/>
        <v>687</v>
      </c>
      <c r="F40">
        <f t="shared" ca="1" si="5"/>
        <v>38084</v>
      </c>
      <c r="G40" t="str">
        <f t="shared" ca="1" si="6"/>
        <v>Completed</v>
      </c>
    </row>
    <row r="41" spans="1:7" x14ac:dyDescent="0.3">
      <c r="A41" t="str">
        <f t="shared" si="0"/>
        <v>P040</v>
      </c>
      <c r="B41" t="str">
        <f t="shared" ca="1" si="1"/>
        <v>C008</v>
      </c>
      <c r="C41" s="1">
        <f t="shared" ca="1" si="2"/>
        <v>45881</v>
      </c>
      <c r="D41" s="1">
        <f t="shared" ca="1" si="3"/>
        <v>45962</v>
      </c>
      <c r="E41">
        <f t="shared" ca="1" si="4"/>
        <v>645</v>
      </c>
      <c r="F41">
        <f t="shared" ca="1" si="5"/>
        <v>117325</v>
      </c>
      <c r="G41" t="str">
        <f t="shared" ca="1" si="6"/>
        <v>Active</v>
      </c>
    </row>
    <row r="42" spans="1:7" x14ac:dyDescent="0.3">
      <c r="A42" t="str">
        <f t="shared" si="0"/>
        <v>P041</v>
      </c>
      <c r="B42" t="str">
        <f t="shared" ca="1" si="1"/>
        <v>C005</v>
      </c>
      <c r="C42" s="1">
        <f t="shared" ca="1" si="2"/>
        <v>45781</v>
      </c>
      <c r="D42" s="1">
        <f t="shared" ca="1" si="3"/>
        <v>45900</v>
      </c>
      <c r="E42">
        <f t="shared" ca="1" si="4"/>
        <v>498</v>
      </c>
      <c r="F42">
        <f t="shared" ca="1" si="5"/>
        <v>52357</v>
      </c>
      <c r="G42" t="str">
        <f t="shared" ca="1" si="6"/>
        <v>Active</v>
      </c>
    </row>
    <row r="43" spans="1:7" x14ac:dyDescent="0.3">
      <c r="A43" t="str">
        <f t="shared" si="0"/>
        <v>P042</v>
      </c>
      <c r="B43" t="str">
        <f t="shared" ca="1" si="1"/>
        <v>C003</v>
      </c>
      <c r="C43" s="1">
        <f t="shared" ca="1" si="2"/>
        <v>45669</v>
      </c>
      <c r="D43" s="1">
        <f t="shared" ca="1" si="3"/>
        <v>45808</v>
      </c>
      <c r="E43">
        <f t="shared" ca="1" si="4"/>
        <v>481</v>
      </c>
      <c r="F43">
        <f t="shared" ca="1" si="5"/>
        <v>123194</v>
      </c>
      <c r="G43" t="str">
        <f t="shared" ca="1" si="6"/>
        <v>Active</v>
      </c>
    </row>
    <row r="44" spans="1:7" x14ac:dyDescent="0.3">
      <c r="A44" t="str">
        <f t="shared" si="0"/>
        <v>P043</v>
      </c>
      <c r="B44" t="str">
        <f t="shared" ca="1" si="1"/>
        <v>C019</v>
      </c>
      <c r="C44" s="1">
        <f t="shared" ca="1" si="2"/>
        <v>45671</v>
      </c>
      <c r="D44" s="1">
        <f t="shared" ca="1" si="3"/>
        <v>45757</v>
      </c>
      <c r="E44">
        <f t="shared" ca="1" si="4"/>
        <v>628</v>
      </c>
      <c r="F44">
        <f t="shared" ca="1" si="5"/>
        <v>147060</v>
      </c>
      <c r="G44" t="str">
        <f t="shared" ca="1" si="6"/>
        <v>Active</v>
      </c>
    </row>
    <row r="45" spans="1:7" x14ac:dyDescent="0.3">
      <c r="A45" t="str">
        <f t="shared" si="0"/>
        <v>P044</v>
      </c>
      <c r="B45" t="str">
        <f t="shared" ca="1" si="1"/>
        <v>C010</v>
      </c>
      <c r="C45" s="1">
        <f t="shared" ca="1" si="2"/>
        <v>45874</v>
      </c>
      <c r="D45" s="1">
        <f t="shared" ca="1" si="3"/>
        <v>45937</v>
      </c>
      <c r="E45">
        <f t="shared" ca="1" si="4"/>
        <v>305</v>
      </c>
      <c r="F45">
        <f t="shared" ca="1" si="5"/>
        <v>84453</v>
      </c>
      <c r="G45" t="str">
        <f t="shared" ca="1" si="6"/>
        <v>Delayed</v>
      </c>
    </row>
    <row r="46" spans="1:7" x14ac:dyDescent="0.3">
      <c r="A46" t="str">
        <f t="shared" si="0"/>
        <v>P045</v>
      </c>
      <c r="B46" t="str">
        <f t="shared" ca="1" si="1"/>
        <v>C007</v>
      </c>
      <c r="C46" s="1">
        <f t="shared" ca="1" si="2"/>
        <v>45671</v>
      </c>
      <c r="D46" s="1">
        <f t="shared" ca="1" si="3"/>
        <v>45840</v>
      </c>
      <c r="E46">
        <f t="shared" ca="1" si="4"/>
        <v>879</v>
      </c>
      <c r="F46">
        <f t="shared" ca="1" si="5"/>
        <v>47635</v>
      </c>
      <c r="G46" t="str">
        <f t="shared" ca="1" si="6"/>
        <v>On Hold</v>
      </c>
    </row>
    <row r="47" spans="1:7" x14ac:dyDescent="0.3">
      <c r="A47" t="str">
        <f t="shared" si="0"/>
        <v>P046</v>
      </c>
      <c r="B47" t="str">
        <f t="shared" ca="1" si="1"/>
        <v>C003</v>
      </c>
      <c r="C47" s="1">
        <f t="shared" ca="1" si="2"/>
        <v>45884</v>
      </c>
      <c r="D47" s="1">
        <f t="shared" ca="1" si="3"/>
        <v>46048</v>
      </c>
      <c r="E47">
        <f t="shared" ca="1" si="4"/>
        <v>213</v>
      </c>
      <c r="F47">
        <f t="shared" ca="1" si="5"/>
        <v>20958</v>
      </c>
      <c r="G47" t="str">
        <f t="shared" ca="1" si="6"/>
        <v>On Hold</v>
      </c>
    </row>
    <row r="48" spans="1:7" x14ac:dyDescent="0.3">
      <c r="A48" t="str">
        <f t="shared" si="0"/>
        <v>P047</v>
      </c>
      <c r="B48" t="str">
        <f t="shared" ca="1" si="1"/>
        <v>C006</v>
      </c>
      <c r="C48" s="1">
        <f t="shared" ca="1" si="2"/>
        <v>45828</v>
      </c>
      <c r="D48" s="1">
        <f t="shared" ca="1" si="3"/>
        <v>45866</v>
      </c>
      <c r="E48">
        <f t="shared" ca="1" si="4"/>
        <v>240</v>
      </c>
      <c r="F48">
        <f t="shared" ca="1" si="5"/>
        <v>66651</v>
      </c>
      <c r="G48" t="str">
        <f t="shared" ca="1" si="6"/>
        <v>On Hold</v>
      </c>
    </row>
    <row r="49" spans="1:7" x14ac:dyDescent="0.3">
      <c r="A49" t="str">
        <f t="shared" si="0"/>
        <v>P048</v>
      </c>
      <c r="B49" t="str">
        <f t="shared" ca="1" si="1"/>
        <v>C014</v>
      </c>
      <c r="C49" s="1">
        <f t="shared" ca="1" si="2"/>
        <v>45731</v>
      </c>
      <c r="D49" s="1">
        <f t="shared" ca="1" si="3"/>
        <v>45878</v>
      </c>
      <c r="E49">
        <f t="shared" ca="1" si="4"/>
        <v>449</v>
      </c>
      <c r="F49">
        <f t="shared" ca="1" si="5"/>
        <v>132778</v>
      </c>
      <c r="G49" t="str">
        <f t="shared" ca="1" si="6"/>
        <v>On Hold</v>
      </c>
    </row>
    <row r="50" spans="1:7" x14ac:dyDescent="0.3">
      <c r="A50" t="str">
        <f t="shared" si="0"/>
        <v>P049</v>
      </c>
      <c r="B50" t="str">
        <f t="shared" ca="1" si="1"/>
        <v>C002</v>
      </c>
      <c r="C50" s="1">
        <f t="shared" ca="1" si="2"/>
        <v>45719</v>
      </c>
      <c r="D50" s="1">
        <f t="shared" ca="1" si="3"/>
        <v>45761</v>
      </c>
      <c r="E50">
        <f t="shared" ca="1" si="4"/>
        <v>835</v>
      </c>
      <c r="F50">
        <f t="shared" ca="1" si="5"/>
        <v>34616</v>
      </c>
      <c r="G50" t="str">
        <f t="shared" ca="1" si="6"/>
        <v>Completed</v>
      </c>
    </row>
    <row r="51" spans="1:7" x14ac:dyDescent="0.3">
      <c r="A51" t="str">
        <f t="shared" si="0"/>
        <v>P050</v>
      </c>
      <c r="B51" t="str">
        <f t="shared" ca="1" si="1"/>
        <v>C009</v>
      </c>
      <c r="C51" s="1">
        <f t="shared" ca="1" si="2"/>
        <v>45975</v>
      </c>
      <c r="D51" s="1">
        <f t="shared" ca="1" si="3"/>
        <v>46071</v>
      </c>
      <c r="E51">
        <f t="shared" ca="1" si="4"/>
        <v>363</v>
      </c>
      <c r="F51">
        <f t="shared" ca="1" si="5"/>
        <v>16426</v>
      </c>
      <c r="G51" t="str">
        <f t="shared" ca="1" si="6"/>
        <v>Delayed</v>
      </c>
    </row>
    <row r="52" spans="1:7" x14ac:dyDescent="0.3">
      <c r="A52" t="str">
        <f t="shared" si="0"/>
        <v>P051</v>
      </c>
      <c r="B52" t="str">
        <f t="shared" ca="1" si="1"/>
        <v>C017</v>
      </c>
      <c r="C52" s="1">
        <f t="shared" ca="1" si="2"/>
        <v>45813</v>
      </c>
      <c r="D52" s="1">
        <f t="shared" ca="1" si="3"/>
        <v>45977</v>
      </c>
      <c r="E52">
        <f t="shared" ca="1" si="4"/>
        <v>302</v>
      </c>
      <c r="F52">
        <f t="shared" ca="1" si="5"/>
        <v>113874</v>
      </c>
      <c r="G52" t="str">
        <f t="shared" ca="1" si="6"/>
        <v>On Hold</v>
      </c>
    </row>
    <row r="53" spans="1:7" x14ac:dyDescent="0.3">
      <c r="A53" t="str">
        <f t="shared" si="0"/>
        <v>P052</v>
      </c>
      <c r="B53" t="str">
        <f t="shared" ca="1" si="1"/>
        <v>C012</v>
      </c>
      <c r="C53" s="1">
        <f t="shared" ca="1" si="2"/>
        <v>45930</v>
      </c>
      <c r="D53" s="1">
        <f t="shared" ca="1" si="3"/>
        <v>46089</v>
      </c>
      <c r="E53">
        <f t="shared" ca="1" si="4"/>
        <v>332</v>
      </c>
      <c r="F53">
        <f t="shared" ca="1" si="5"/>
        <v>116901</v>
      </c>
      <c r="G53" t="str">
        <f t="shared" ca="1" si="6"/>
        <v>Active</v>
      </c>
    </row>
    <row r="54" spans="1:7" x14ac:dyDescent="0.3">
      <c r="A54" t="str">
        <f t="shared" si="0"/>
        <v>P053</v>
      </c>
      <c r="B54" t="str">
        <f t="shared" ca="1" si="1"/>
        <v>C012</v>
      </c>
      <c r="C54" s="1">
        <f t="shared" ca="1" si="2"/>
        <v>45658</v>
      </c>
      <c r="D54" s="1">
        <f t="shared" ca="1" si="3"/>
        <v>45735</v>
      </c>
      <c r="E54">
        <f t="shared" ca="1" si="4"/>
        <v>221</v>
      </c>
      <c r="F54">
        <f t="shared" ca="1" si="5"/>
        <v>132176</v>
      </c>
      <c r="G54" t="str">
        <f t="shared" ca="1" si="6"/>
        <v>On Hold</v>
      </c>
    </row>
    <row r="55" spans="1:7" x14ac:dyDescent="0.3">
      <c r="A55" t="str">
        <f t="shared" si="0"/>
        <v>P054</v>
      </c>
      <c r="B55" t="str">
        <f t="shared" ca="1" si="1"/>
        <v>C004</v>
      </c>
      <c r="C55" s="1">
        <f t="shared" ca="1" si="2"/>
        <v>46004</v>
      </c>
      <c r="D55" s="1">
        <f t="shared" ca="1" si="3"/>
        <v>46180</v>
      </c>
      <c r="E55">
        <f t="shared" ca="1" si="4"/>
        <v>734</v>
      </c>
      <c r="F55">
        <f t="shared" ca="1" si="5"/>
        <v>66282</v>
      </c>
      <c r="G55" t="str">
        <f t="shared" ca="1" si="6"/>
        <v>On Hold</v>
      </c>
    </row>
    <row r="56" spans="1:7" x14ac:dyDescent="0.3">
      <c r="A56" t="str">
        <f t="shared" si="0"/>
        <v>P055</v>
      </c>
      <c r="B56" t="str">
        <f t="shared" ca="1" si="1"/>
        <v>C015</v>
      </c>
      <c r="C56" s="1">
        <f t="shared" ca="1" si="2"/>
        <v>45952</v>
      </c>
      <c r="D56" s="1">
        <f t="shared" ca="1" si="3"/>
        <v>46109</v>
      </c>
      <c r="E56">
        <f t="shared" ca="1" si="4"/>
        <v>929</v>
      </c>
      <c r="F56">
        <f t="shared" ca="1" si="5"/>
        <v>148794</v>
      </c>
      <c r="G56" t="str">
        <f t="shared" ca="1" si="6"/>
        <v>On Hold</v>
      </c>
    </row>
    <row r="57" spans="1:7" x14ac:dyDescent="0.3">
      <c r="A57" t="str">
        <f t="shared" si="0"/>
        <v>P056</v>
      </c>
      <c r="B57" t="str">
        <f t="shared" ca="1" si="1"/>
        <v>C002</v>
      </c>
      <c r="C57" s="1">
        <f t="shared" ca="1" si="2"/>
        <v>46005</v>
      </c>
      <c r="D57" s="1">
        <f t="shared" ca="1" si="3"/>
        <v>46072</v>
      </c>
      <c r="E57">
        <f t="shared" ca="1" si="4"/>
        <v>931</v>
      </c>
      <c r="F57">
        <f t="shared" ca="1" si="5"/>
        <v>130686</v>
      </c>
      <c r="G57" t="str">
        <f t="shared" ca="1" si="6"/>
        <v>Delayed</v>
      </c>
    </row>
    <row r="58" spans="1:7" x14ac:dyDescent="0.3">
      <c r="A58" t="str">
        <f t="shared" si="0"/>
        <v>P057</v>
      </c>
      <c r="B58" t="str">
        <f t="shared" ca="1" si="1"/>
        <v>C014</v>
      </c>
      <c r="C58" s="1">
        <f t="shared" ca="1" si="2"/>
        <v>45779</v>
      </c>
      <c r="D58" s="1">
        <f t="shared" ca="1" si="3"/>
        <v>45877</v>
      </c>
      <c r="E58">
        <f t="shared" ca="1" si="4"/>
        <v>876</v>
      </c>
      <c r="F58">
        <f t="shared" ca="1" si="5"/>
        <v>69345</v>
      </c>
      <c r="G58" t="str">
        <f t="shared" ca="1" si="6"/>
        <v>Delayed</v>
      </c>
    </row>
    <row r="59" spans="1:7" x14ac:dyDescent="0.3">
      <c r="A59" t="str">
        <f t="shared" si="0"/>
        <v>P058</v>
      </c>
      <c r="B59" t="str">
        <f t="shared" ca="1" si="1"/>
        <v>C012</v>
      </c>
      <c r="C59" s="1">
        <f t="shared" ca="1" si="2"/>
        <v>45893</v>
      </c>
      <c r="D59" s="1">
        <f t="shared" ca="1" si="3"/>
        <v>46045</v>
      </c>
      <c r="E59">
        <f t="shared" ca="1" si="4"/>
        <v>395</v>
      </c>
      <c r="F59">
        <f t="shared" ca="1" si="5"/>
        <v>13215</v>
      </c>
      <c r="G59" t="str">
        <f t="shared" ca="1" si="6"/>
        <v>On Hold</v>
      </c>
    </row>
    <row r="60" spans="1:7" x14ac:dyDescent="0.3">
      <c r="A60" t="str">
        <f t="shared" si="0"/>
        <v>P059</v>
      </c>
      <c r="B60" t="str">
        <f t="shared" ca="1" si="1"/>
        <v>C013</v>
      </c>
      <c r="C60" s="1">
        <f t="shared" ca="1" si="2"/>
        <v>45894</v>
      </c>
      <c r="D60" s="1">
        <f t="shared" ca="1" si="3"/>
        <v>45963</v>
      </c>
      <c r="E60">
        <f t="shared" ca="1" si="4"/>
        <v>867</v>
      </c>
      <c r="F60">
        <f t="shared" ca="1" si="5"/>
        <v>99249</v>
      </c>
      <c r="G60" t="str">
        <f t="shared" ca="1" si="6"/>
        <v>Delayed</v>
      </c>
    </row>
    <row r="61" spans="1:7" x14ac:dyDescent="0.3">
      <c r="A61" t="str">
        <f t="shared" si="0"/>
        <v>P060</v>
      </c>
      <c r="B61" t="str">
        <f t="shared" ca="1" si="1"/>
        <v>C005</v>
      </c>
      <c r="C61" s="1">
        <f t="shared" ca="1" si="2"/>
        <v>45694</v>
      </c>
      <c r="D61" s="1">
        <f t="shared" ca="1" si="3"/>
        <v>45864</v>
      </c>
      <c r="E61">
        <f t="shared" ca="1" si="4"/>
        <v>899</v>
      </c>
      <c r="F61">
        <f t="shared" ca="1" si="5"/>
        <v>123094</v>
      </c>
      <c r="G61" t="str">
        <f t="shared" ca="1" si="6"/>
        <v>On Hold</v>
      </c>
    </row>
    <row r="62" spans="1:7" x14ac:dyDescent="0.3">
      <c r="A62" t="str">
        <f t="shared" si="0"/>
        <v>P061</v>
      </c>
      <c r="B62" t="str">
        <f t="shared" ca="1" si="1"/>
        <v>C020</v>
      </c>
      <c r="C62" s="1">
        <f t="shared" ca="1" si="2"/>
        <v>45838</v>
      </c>
      <c r="D62" s="1">
        <f t="shared" ca="1" si="3"/>
        <v>45998</v>
      </c>
      <c r="E62">
        <f t="shared" ca="1" si="4"/>
        <v>320</v>
      </c>
      <c r="F62">
        <f t="shared" ca="1" si="5"/>
        <v>109838</v>
      </c>
      <c r="G62" t="str">
        <f t="shared" ca="1" si="6"/>
        <v>Completed</v>
      </c>
    </row>
    <row r="63" spans="1:7" x14ac:dyDescent="0.3">
      <c r="A63" t="str">
        <f t="shared" si="0"/>
        <v>P062</v>
      </c>
      <c r="B63" t="str">
        <f t="shared" ca="1" si="1"/>
        <v>C014</v>
      </c>
      <c r="C63" s="1">
        <f t="shared" ca="1" si="2"/>
        <v>45986</v>
      </c>
      <c r="D63" s="1">
        <f t="shared" ca="1" si="3"/>
        <v>46020</v>
      </c>
      <c r="E63">
        <f t="shared" ca="1" si="4"/>
        <v>589</v>
      </c>
      <c r="F63">
        <f t="shared" ca="1" si="5"/>
        <v>13345</v>
      </c>
      <c r="G63" t="str">
        <f t="shared" ca="1" si="6"/>
        <v>Active</v>
      </c>
    </row>
    <row r="64" spans="1:7" x14ac:dyDescent="0.3">
      <c r="A64" t="str">
        <f t="shared" si="0"/>
        <v>P063</v>
      </c>
      <c r="B64" t="str">
        <f t="shared" ca="1" si="1"/>
        <v>C004</v>
      </c>
      <c r="C64" s="1">
        <f t="shared" ca="1" si="2"/>
        <v>45686</v>
      </c>
      <c r="D64" s="1">
        <f t="shared" ca="1" si="3"/>
        <v>45773</v>
      </c>
      <c r="E64">
        <f t="shared" ca="1" si="4"/>
        <v>351</v>
      </c>
      <c r="F64">
        <f t="shared" ca="1" si="5"/>
        <v>15855</v>
      </c>
      <c r="G64" t="str">
        <f t="shared" ca="1" si="6"/>
        <v>On Hold</v>
      </c>
    </row>
    <row r="65" spans="1:7" x14ac:dyDescent="0.3">
      <c r="A65" t="str">
        <f t="shared" si="0"/>
        <v>P064</v>
      </c>
      <c r="B65" t="str">
        <f t="shared" ca="1" si="1"/>
        <v>C016</v>
      </c>
      <c r="C65" s="1">
        <f t="shared" ca="1" si="2"/>
        <v>45844</v>
      </c>
      <c r="D65" s="1">
        <f t="shared" ca="1" si="3"/>
        <v>45962</v>
      </c>
      <c r="E65">
        <f t="shared" ca="1" si="4"/>
        <v>429</v>
      </c>
      <c r="F65">
        <f t="shared" ca="1" si="5"/>
        <v>138721</v>
      </c>
      <c r="G65" t="str">
        <f t="shared" ca="1" si="6"/>
        <v>Delayed</v>
      </c>
    </row>
    <row r="66" spans="1:7" x14ac:dyDescent="0.3">
      <c r="A66" t="str">
        <f t="shared" si="0"/>
        <v>P065</v>
      </c>
      <c r="B66" t="str">
        <f t="shared" ca="1" si="1"/>
        <v>C016</v>
      </c>
      <c r="C66" s="1">
        <f t="shared" ca="1" si="2"/>
        <v>45712</v>
      </c>
      <c r="D66" s="1">
        <f t="shared" ca="1" si="3"/>
        <v>45847</v>
      </c>
      <c r="E66">
        <f t="shared" ca="1" si="4"/>
        <v>323</v>
      </c>
      <c r="F66">
        <f t="shared" ca="1" si="5"/>
        <v>95906</v>
      </c>
      <c r="G66" t="str">
        <f t="shared" ca="1" si="6"/>
        <v>On Hold</v>
      </c>
    </row>
    <row r="67" spans="1:7" x14ac:dyDescent="0.3">
      <c r="A67" t="str">
        <f t="shared" ref="A67:A101" si="7">"P"&amp;TEXT(ROW()-1,"000")</f>
        <v>P066</v>
      </c>
      <c r="B67" t="str">
        <f t="shared" ref="B67:B101" ca="1" si="8">"C"&amp;TEXT(RANDBETWEEN(1,20),"000")</f>
        <v>C006</v>
      </c>
      <c r="C67" s="1">
        <f t="shared" ref="C67:C101" ca="1" si="9">DATE(2025,1,1)+RANDBETWEEN(0,365)</f>
        <v>45941</v>
      </c>
      <c r="D67" s="1">
        <f t="shared" ref="D67:D101" ca="1" si="10">C67+RANDBETWEEN(30,180)</f>
        <v>46054</v>
      </c>
      <c r="E67">
        <f t="shared" ref="E67:E101" ca="1" si="11">RANDBETWEEN(100,1000)</f>
        <v>342</v>
      </c>
      <c r="F67">
        <f t="shared" ref="F67:F101" ca="1" si="12">RANDBETWEEN(10000,150000)</f>
        <v>47846</v>
      </c>
      <c r="G67" t="str">
        <f t="shared" ref="G67:G101" ca="1" si="13">CHOOSE(RANDBETWEEN(1,4),"Active","Completed","Delayed","On Hold")</f>
        <v>Completed</v>
      </c>
    </row>
    <row r="68" spans="1:7" x14ac:dyDescent="0.3">
      <c r="A68" t="str">
        <f t="shared" si="7"/>
        <v>P067</v>
      </c>
      <c r="B68" t="str">
        <f t="shared" ca="1" si="8"/>
        <v>C001</v>
      </c>
      <c r="C68" s="1">
        <f t="shared" ca="1" si="9"/>
        <v>45720</v>
      </c>
      <c r="D68" s="1">
        <f t="shared" ca="1" si="10"/>
        <v>45837</v>
      </c>
      <c r="E68">
        <f t="shared" ca="1" si="11"/>
        <v>569</v>
      </c>
      <c r="F68">
        <f t="shared" ca="1" si="12"/>
        <v>97059</v>
      </c>
      <c r="G68" t="str">
        <f t="shared" ca="1" si="13"/>
        <v>Active</v>
      </c>
    </row>
    <row r="69" spans="1:7" x14ac:dyDescent="0.3">
      <c r="A69" t="str">
        <f t="shared" si="7"/>
        <v>P068</v>
      </c>
      <c r="B69" t="str">
        <f t="shared" ca="1" si="8"/>
        <v>C014</v>
      </c>
      <c r="C69" s="1">
        <f t="shared" ca="1" si="9"/>
        <v>45968</v>
      </c>
      <c r="D69" s="1">
        <f t="shared" ca="1" si="10"/>
        <v>46148</v>
      </c>
      <c r="E69">
        <f t="shared" ca="1" si="11"/>
        <v>960</v>
      </c>
      <c r="F69">
        <f t="shared" ca="1" si="12"/>
        <v>17325</v>
      </c>
      <c r="G69" t="str">
        <f t="shared" ca="1" si="13"/>
        <v>On Hold</v>
      </c>
    </row>
    <row r="70" spans="1:7" x14ac:dyDescent="0.3">
      <c r="A70" t="str">
        <f t="shared" si="7"/>
        <v>P069</v>
      </c>
      <c r="B70" t="str">
        <f t="shared" ca="1" si="8"/>
        <v>C008</v>
      </c>
      <c r="C70" s="1">
        <f t="shared" ca="1" si="9"/>
        <v>45984</v>
      </c>
      <c r="D70" s="1">
        <f t="shared" ca="1" si="10"/>
        <v>46101</v>
      </c>
      <c r="E70">
        <f t="shared" ca="1" si="11"/>
        <v>499</v>
      </c>
      <c r="F70">
        <f t="shared" ca="1" si="12"/>
        <v>53557</v>
      </c>
      <c r="G70" t="str">
        <f t="shared" ca="1" si="13"/>
        <v>Active</v>
      </c>
    </row>
    <row r="71" spans="1:7" x14ac:dyDescent="0.3">
      <c r="A71" t="str">
        <f t="shared" si="7"/>
        <v>P070</v>
      </c>
      <c r="B71" t="str">
        <f t="shared" ca="1" si="8"/>
        <v>C005</v>
      </c>
      <c r="C71" s="1">
        <f t="shared" ca="1" si="9"/>
        <v>45946</v>
      </c>
      <c r="D71" s="1">
        <f t="shared" ca="1" si="10"/>
        <v>46031</v>
      </c>
      <c r="E71">
        <f t="shared" ca="1" si="11"/>
        <v>880</v>
      </c>
      <c r="F71">
        <f t="shared" ca="1" si="12"/>
        <v>26585</v>
      </c>
      <c r="G71" t="str">
        <f t="shared" ca="1" si="13"/>
        <v>Delayed</v>
      </c>
    </row>
    <row r="72" spans="1:7" x14ac:dyDescent="0.3">
      <c r="A72" t="str">
        <f t="shared" si="7"/>
        <v>P071</v>
      </c>
      <c r="B72" t="str">
        <f t="shared" ca="1" si="8"/>
        <v>C007</v>
      </c>
      <c r="C72" s="1">
        <f t="shared" ca="1" si="9"/>
        <v>45740</v>
      </c>
      <c r="D72" s="1">
        <f t="shared" ca="1" si="10"/>
        <v>45804</v>
      </c>
      <c r="E72">
        <f t="shared" ca="1" si="11"/>
        <v>394</v>
      </c>
      <c r="F72">
        <f t="shared" ca="1" si="12"/>
        <v>48056</v>
      </c>
      <c r="G72" t="str">
        <f t="shared" ca="1" si="13"/>
        <v>Active</v>
      </c>
    </row>
    <row r="73" spans="1:7" x14ac:dyDescent="0.3">
      <c r="A73" t="str">
        <f t="shared" si="7"/>
        <v>P072</v>
      </c>
      <c r="B73" t="str">
        <f t="shared" ca="1" si="8"/>
        <v>C019</v>
      </c>
      <c r="C73" s="1">
        <f t="shared" ca="1" si="9"/>
        <v>45956</v>
      </c>
      <c r="D73" s="1">
        <f t="shared" ca="1" si="10"/>
        <v>46026</v>
      </c>
      <c r="E73">
        <f t="shared" ca="1" si="11"/>
        <v>235</v>
      </c>
      <c r="F73">
        <f t="shared" ca="1" si="12"/>
        <v>11364</v>
      </c>
      <c r="G73" t="str">
        <f t="shared" ca="1" si="13"/>
        <v>Active</v>
      </c>
    </row>
    <row r="74" spans="1:7" x14ac:dyDescent="0.3">
      <c r="A74" t="str">
        <f t="shared" si="7"/>
        <v>P073</v>
      </c>
      <c r="B74" t="str">
        <f t="shared" ca="1" si="8"/>
        <v>C006</v>
      </c>
      <c r="C74" s="1">
        <f t="shared" ca="1" si="9"/>
        <v>45659</v>
      </c>
      <c r="D74" s="1">
        <f t="shared" ca="1" si="10"/>
        <v>45702</v>
      </c>
      <c r="E74">
        <f t="shared" ca="1" si="11"/>
        <v>997</v>
      </c>
      <c r="F74">
        <f t="shared" ca="1" si="12"/>
        <v>82923</v>
      </c>
      <c r="G74" t="str">
        <f t="shared" ca="1" si="13"/>
        <v>Active</v>
      </c>
    </row>
    <row r="75" spans="1:7" x14ac:dyDescent="0.3">
      <c r="A75" t="str">
        <f t="shared" si="7"/>
        <v>P074</v>
      </c>
      <c r="B75" t="str">
        <f t="shared" ca="1" si="8"/>
        <v>C006</v>
      </c>
      <c r="C75" s="1">
        <f t="shared" ca="1" si="9"/>
        <v>45877</v>
      </c>
      <c r="D75" s="1">
        <f t="shared" ca="1" si="10"/>
        <v>45930</v>
      </c>
      <c r="E75">
        <f t="shared" ca="1" si="11"/>
        <v>255</v>
      </c>
      <c r="F75">
        <f t="shared" ca="1" si="12"/>
        <v>43309</v>
      </c>
      <c r="G75" t="str">
        <f t="shared" ca="1" si="13"/>
        <v>Completed</v>
      </c>
    </row>
    <row r="76" spans="1:7" x14ac:dyDescent="0.3">
      <c r="A76" t="str">
        <f t="shared" si="7"/>
        <v>P075</v>
      </c>
      <c r="B76" t="str">
        <f t="shared" ca="1" si="8"/>
        <v>C010</v>
      </c>
      <c r="C76" s="1">
        <f t="shared" ca="1" si="9"/>
        <v>45892</v>
      </c>
      <c r="D76" s="1">
        <f t="shared" ca="1" si="10"/>
        <v>46003</v>
      </c>
      <c r="E76">
        <f t="shared" ca="1" si="11"/>
        <v>794</v>
      </c>
      <c r="F76">
        <f t="shared" ca="1" si="12"/>
        <v>14312</v>
      </c>
      <c r="G76" t="str">
        <f t="shared" ca="1" si="13"/>
        <v>On Hold</v>
      </c>
    </row>
    <row r="77" spans="1:7" x14ac:dyDescent="0.3">
      <c r="A77" t="str">
        <f t="shared" si="7"/>
        <v>P076</v>
      </c>
      <c r="B77" t="str">
        <f t="shared" ca="1" si="8"/>
        <v>C004</v>
      </c>
      <c r="C77" s="1">
        <f t="shared" ca="1" si="9"/>
        <v>45975</v>
      </c>
      <c r="D77" s="1">
        <f t="shared" ca="1" si="10"/>
        <v>46069</v>
      </c>
      <c r="E77">
        <f t="shared" ca="1" si="11"/>
        <v>231</v>
      </c>
      <c r="F77">
        <f t="shared" ca="1" si="12"/>
        <v>82340</v>
      </c>
      <c r="G77" t="str">
        <f t="shared" ca="1" si="13"/>
        <v>Completed</v>
      </c>
    </row>
    <row r="78" spans="1:7" x14ac:dyDescent="0.3">
      <c r="A78" t="str">
        <f t="shared" si="7"/>
        <v>P077</v>
      </c>
      <c r="B78" t="str">
        <f t="shared" ca="1" si="8"/>
        <v>C004</v>
      </c>
      <c r="C78" s="1">
        <f t="shared" ca="1" si="9"/>
        <v>45715</v>
      </c>
      <c r="D78" s="1">
        <f t="shared" ca="1" si="10"/>
        <v>45813</v>
      </c>
      <c r="E78">
        <f t="shared" ca="1" si="11"/>
        <v>827</v>
      </c>
      <c r="F78">
        <f t="shared" ca="1" si="12"/>
        <v>30173</v>
      </c>
      <c r="G78" t="str">
        <f t="shared" ca="1" si="13"/>
        <v>Active</v>
      </c>
    </row>
    <row r="79" spans="1:7" x14ac:dyDescent="0.3">
      <c r="A79" t="str">
        <f t="shared" si="7"/>
        <v>P078</v>
      </c>
      <c r="B79" t="str">
        <f t="shared" ca="1" si="8"/>
        <v>C005</v>
      </c>
      <c r="C79" s="1">
        <f t="shared" ca="1" si="9"/>
        <v>45932</v>
      </c>
      <c r="D79" s="1">
        <f t="shared" ca="1" si="10"/>
        <v>46060</v>
      </c>
      <c r="E79">
        <f t="shared" ca="1" si="11"/>
        <v>134</v>
      </c>
      <c r="F79">
        <f t="shared" ca="1" si="12"/>
        <v>22181</v>
      </c>
      <c r="G79" t="str">
        <f t="shared" ca="1" si="13"/>
        <v>Active</v>
      </c>
    </row>
    <row r="80" spans="1:7" x14ac:dyDescent="0.3">
      <c r="A80" t="str">
        <f t="shared" si="7"/>
        <v>P079</v>
      </c>
      <c r="B80" t="str">
        <f t="shared" ca="1" si="8"/>
        <v>C017</v>
      </c>
      <c r="C80" s="1">
        <f t="shared" ca="1" si="9"/>
        <v>45931</v>
      </c>
      <c r="D80" s="1">
        <f t="shared" ca="1" si="10"/>
        <v>46110</v>
      </c>
      <c r="E80">
        <f t="shared" ca="1" si="11"/>
        <v>109</v>
      </c>
      <c r="F80">
        <f t="shared" ca="1" si="12"/>
        <v>64067</v>
      </c>
      <c r="G80" t="str">
        <f t="shared" ca="1" si="13"/>
        <v>On Hold</v>
      </c>
    </row>
    <row r="81" spans="1:7" x14ac:dyDescent="0.3">
      <c r="A81" t="str">
        <f t="shared" si="7"/>
        <v>P080</v>
      </c>
      <c r="B81" t="str">
        <f t="shared" ca="1" si="8"/>
        <v>C013</v>
      </c>
      <c r="C81" s="1">
        <f t="shared" ca="1" si="9"/>
        <v>45932</v>
      </c>
      <c r="D81" s="1">
        <f t="shared" ca="1" si="10"/>
        <v>46046</v>
      </c>
      <c r="E81">
        <f t="shared" ca="1" si="11"/>
        <v>658</v>
      </c>
      <c r="F81">
        <f t="shared" ca="1" si="12"/>
        <v>107258</v>
      </c>
      <c r="G81" t="str">
        <f t="shared" ca="1" si="13"/>
        <v>Completed</v>
      </c>
    </row>
    <row r="82" spans="1:7" x14ac:dyDescent="0.3">
      <c r="A82" t="str">
        <f t="shared" si="7"/>
        <v>P081</v>
      </c>
      <c r="B82" t="str">
        <f t="shared" ca="1" si="8"/>
        <v>C002</v>
      </c>
      <c r="C82" s="1">
        <f t="shared" ca="1" si="9"/>
        <v>45696</v>
      </c>
      <c r="D82" s="1">
        <f t="shared" ca="1" si="10"/>
        <v>45735</v>
      </c>
      <c r="E82">
        <f t="shared" ca="1" si="11"/>
        <v>704</v>
      </c>
      <c r="F82">
        <f t="shared" ca="1" si="12"/>
        <v>36469</v>
      </c>
      <c r="G82" t="str">
        <f t="shared" ca="1" si="13"/>
        <v>Delayed</v>
      </c>
    </row>
    <row r="83" spans="1:7" x14ac:dyDescent="0.3">
      <c r="A83" t="str">
        <f t="shared" si="7"/>
        <v>P082</v>
      </c>
      <c r="B83" t="str">
        <f t="shared" ca="1" si="8"/>
        <v>C008</v>
      </c>
      <c r="C83" s="1">
        <f t="shared" ca="1" si="9"/>
        <v>45814</v>
      </c>
      <c r="D83" s="1">
        <f t="shared" ca="1" si="10"/>
        <v>45847</v>
      </c>
      <c r="E83">
        <f t="shared" ca="1" si="11"/>
        <v>500</v>
      </c>
      <c r="F83">
        <f t="shared" ca="1" si="12"/>
        <v>32346</v>
      </c>
      <c r="G83" t="str">
        <f t="shared" ca="1" si="13"/>
        <v>Active</v>
      </c>
    </row>
    <row r="84" spans="1:7" x14ac:dyDescent="0.3">
      <c r="A84" t="str">
        <f t="shared" si="7"/>
        <v>P083</v>
      </c>
      <c r="B84" t="str">
        <f t="shared" ca="1" si="8"/>
        <v>C016</v>
      </c>
      <c r="C84" s="1">
        <f t="shared" ca="1" si="9"/>
        <v>45827</v>
      </c>
      <c r="D84" s="1">
        <f t="shared" ca="1" si="10"/>
        <v>45861</v>
      </c>
      <c r="E84">
        <f t="shared" ca="1" si="11"/>
        <v>643</v>
      </c>
      <c r="F84">
        <f t="shared" ca="1" si="12"/>
        <v>58186</v>
      </c>
      <c r="G84" t="str">
        <f t="shared" ca="1" si="13"/>
        <v>Completed</v>
      </c>
    </row>
    <row r="85" spans="1:7" x14ac:dyDescent="0.3">
      <c r="A85" t="str">
        <f t="shared" si="7"/>
        <v>P084</v>
      </c>
      <c r="B85" t="str">
        <f t="shared" ca="1" si="8"/>
        <v>C016</v>
      </c>
      <c r="C85" s="1">
        <f t="shared" ca="1" si="9"/>
        <v>45982</v>
      </c>
      <c r="D85" s="1">
        <f t="shared" ca="1" si="10"/>
        <v>46016</v>
      </c>
      <c r="E85">
        <f t="shared" ca="1" si="11"/>
        <v>907</v>
      </c>
      <c r="F85">
        <f t="shared" ca="1" si="12"/>
        <v>56953</v>
      </c>
      <c r="G85" t="str">
        <f t="shared" ca="1" si="13"/>
        <v>Active</v>
      </c>
    </row>
    <row r="86" spans="1:7" x14ac:dyDescent="0.3">
      <c r="A86" t="str">
        <f t="shared" si="7"/>
        <v>P085</v>
      </c>
      <c r="B86" t="str">
        <f t="shared" ca="1" si="8"/>
        <v>C004</v>
      </c>
      <c r="C86" s="1">
        <f t="shared" ca="1" si="9"/>
        <v>45939</v>
      </c>
      <c r="D86" s="1">
        <f t="shared" ca="1" si="10"/>
        <v>46027</v>
      </c>
      <c r="E86">
        <f t="shared" ca="1" si="11"/>
        <v>911</v>
      </c>
      <c r="F86">
        <f t="shared" ca="1" si="12"/>
        <v>22650</v>
      </c>
      <c r="G86" t="str">
        <f t="shared" ca="1" si="13"/>
        <v>On Hold</v>
      </c>
    </row>
    <row r="87" spans="1:7" x14ac:dyDescent="0.3">
      <c r="A87" t="str">
        <f t="shared" si="7"/>
        <v>P086</v>
      </c>
      <c r="B87" t="str">
        <f t="shared" ca="1" si="8"/>
        <v>C014</v>
      </c>
      <c r="C87" s="1">
        <f t="shared" ca="1" si="9"/>
        <v>45970</v>
      </c>
      <c r="D87" s="1">
        <f t="shared" ca="1" si="10"/>
        <v>46134</v>
      </c>
      <c r="E87">
        <f t="shared" ca="1" si="11"/>
        <v>612</v>
      </c>
      <c r="F87">
        <f t="shared" ca="1" si="12"/>
        <v>129023</v>
      </c>
      <c r="G87" t="str">
        <f t="shared" ca="1" si="13"/>
        <v>Delayed</v>
      </c>
    </row>
    <row r="88" spans="1:7" x14ac:dyDescent="0.3">
      <c r="A88" t="str">
        <f t="shared" si="7"/>
        <v>P087</v>
      </c>
      <c r="B88" t="str">
        <f t="shared" ca="1" si="8"/>
        <v>C014</v>
      </c>
      <c r="C88" s="1">
        <f t="shared" ca="1" si="9"/>
        <v>45855</v>
      </c>
      <c r="D88" s="1">
        <f t="shared" ca="1" si="10"/>
        <v>45924</v>
      </c>
      <c r="E88">
        <f t="shared" ca="1" si="11"/>
        <v>514</v>
      </c>
      <c r="F88">
        <f t="shared" ca="1" si="12"/>
        <v>146765</v>
      </c>
      <c r="G88" t="str">
        <f t="shared" ca="1" si="13"/>
        <v>Active</v>
      </c>
    </row>
    <row r="89" spans="1:7" x14ac:dyDescent="0.3">
      <c r="A89" t="str">
        <f t="shared" si="7"/>
        <v>P088</v>
      </c>
      <c r="B89" t="str">
        <f t="shared" ca="1" si="8"/>
        <v>C018</v>
      </c>
      <c r="C89" s="1">
        <f t="shared" ca="1" si="9"/>
        <v>45922</v>
      </c>
      <c r="D89" s="1">
        <f t="shared" ca="1" si="10"/>
        <v>46043</v>
      </c>
      <c r="E89">
        <f t="shared" ca="1" si="11"/>
        <v>273</v>
      </c>
      <c r="F89">
        <f t="shared" ca="1" si="12"/>
        <v>101354</v>
      </c>
      <c r="G89" t="str">
        <f t="shared" ca="1" si="13"/>
        <v>Active</v>
      </c>
    </row>
    <row r="90" spans="1:7" x14ac:dyDescent="0.3">
      <c r="A90" t="str">
        <f t="shared" si="7"/>
        <v>P089</v>
      </c>
      <c r="B90" t="str">
        <f t="shared" ca="1" si="8"/>
        <v>C009</v>
      </c>
      <c r="C90" s="1">
        <f t="shared" ca="1" si="9"/>
        <v>45811</v>
      </c>
      <c r="D90" s="1">
        <f t="shared" ca="1" si="10"/>
        <v>45878</v>
      </c>
      <c r="E90">
        <f t="shared" ca="1" si="11"/>
        <v>977</v>
      </c>
      <c r="F90">
        <f t="shared" ca="1" si="12"/>
        <v>91559</v>
      </c>
      <c r="G90" t="str">
        <f t="shared" ca="1" si="13"/>
        <v>Active</v>
      </c>
    </row>
    <row r="91" spans="1:7" x14ac:dyDescent="0.3">
      <c r="A91" t="str">
        <f t="shared" si="7"/>
        <v>P090</v>
      </c>
      <c r="B91" t="str">
        <f t="shared" ca="1" si="8"/>
        <v>C007</v>
      </c>
      <c r="C91" s="1">
        <f t="shared" ca="1" si="9"/>
        <v>45836</v>
      </c>
      <c r="D91" s="1">
        <f t="shared" ca="1" si="10"/>
        <v>46016</v>
      </c>
      <c r="E91">
        <f t="shared" ca="1" si="11"/>
        <v>951</v>
      </c>
      <c r="F91">
        <f t="shared" ca="1" si="12"/>
        <v>103866</v>
      </c>
      <c r="G91" t="str">
        <f t="shared" ca="1" si="13"/>
        <v>Delayed</v>
      </c>
    </row>
    <row r="92" spans="1:7" x14ac:dyDescent="0.3">
      <c r="A92" t="str">
        <f t="shared" si="7"/>
        <v>P091</v>
      </c>
      <c r="B92" t="str">
        <f t="shared" ca="1" si="8"/>
        <v>C019</v>
      </c>
      <c r="C92" s="1">
        <f t="shared" ca="1" si="9"/>
        <v>46006</v>
      </c>
      <c r="D92" s="1">
        <f t="shared" ca="1" si="10"/>
        <v>46137</v>
      </c>
      <c r="E92">
        <f t="shared" ca="1" si="11"/>
        <v>957</v>
      </c>
      <c r="F92">
        <f t="shared" ca="1" si="12"/>
        <v>136527</v>
      </c>
      <c r="G92" t="str">
        <f t="shared" ca="1" si="13"/>
        <v>Completed</v>
      </c>
    </row>
    <row r="93" spans="1:7" x14ac:dyDescent="0.3">
      <c r="A93" t="str">
        <f t="shared" si="7"/>
        <v>P092</v>
      </c>
      <c r="B93" t="str">
        <f t="shared" ca="1" si="8"/>
        <v>C003</v>
      </c>
      <c r="C93" s="1">
        <f t="shared" ca="1" si="9"/>
        <v>45848</v>
      </c>
      <c r="D93" s="1">
        <f t="shared" ca="1" si="10"/>
        <v>45892</v>
      </c>
      <c r="E93">
        <f t="shared" ca="1" si="11"/>
        <v>345</v>
      </c>
      <c r="F93">
        <f t="shared" ca="1" si="12"/>
        <v>91736</v>
      </c>
      <c r="G93" t="str">
        <f t="shared" ca="1" si="13"/>
        <v>Completed</v>
      </c>
    </row>
    <row r="94" spans="1:7" x14ac:dyDescent="0.3">
      <c r="A94" t="str">
        <f t="shared" si="7"/>
        <v>P093</v>
      </c>
      <c r="B94" t="str">
        <f t="shared" ca="1" si="8"/>
        <v>C016</v>
      </c>
      <c r="C94" s="1">
        <f t="shared" ca="1" si="9"/>
        <v>45851</v>
      </c>
      <c r="D94" s="1">
        <f t="shared" ca="1" si="10"/>
        <v>45943</v>
      </c>
      <c r="E94">
        <f t="shared" ca="1" si="11"/>
        <v>436</v>
      </c>
      <c r="F94">
        <f t="shared" ca="1" si="12"/>
        <v>144830</v>
      </c>
      <c r="G94" t="str">
        <f t="shared" ca="1" si="13"/>
        <v>Completed</v>
      </c>
    </row>
    <row r="95" spans="1:7" x14ac:dyDescent="0.3">
      <c r="A95" t="str">
        <f t="shared" si="7"/>
        <v>P094</v>
      </c>
      <c r="B95" t="str">
        <f t="shared" ca="1" si="8"/>
        <v>C020</v>
      </c>
      <c r="C95" s="1">
        <f t="shared" ca="1" si="9"/>
        <v>45976</v>
      </c>
      <c r="D95" s="1">
        <f t="shared" ca="1" si="10"/>
        <v>46099</v>
      </c>
      <c r="E95">
        <f t="shared" ca="1" si="11"/>
        <v>623</v>
      </c>
      <c r="F95">
        <f t="shared" ca="1" si="12"/>
        <v>142718</v>
      </c>
      <c r="G95" t="str">
        <f t="shared" ca="1" si="13"/>
        <v>Active</v>
      </c>
    </row>
    <row r="96" spans="1:7" x14ac:dyDescent="0.3">
      <c r="A96" t="str">
        <f t="shared" si="7"/>
        <v>P095</v>
      </c>
      <c r="B96" t="str">
        <f t="shared" ca="1" si="8"/>
        <v>C007</v>
      </c>
      <c r="C96" s="1">
        <f t="shared" ca="1" si="9"/>
        <v>45920</v>
      </c>
      <c r="D96" s="1">
        <f t="shared" ca="1" si="10"/>
        <v>46076</v>
      </c>
      <c r="E96">
        <f t="shared" ca="1" si="11"/>
        <v>147</v>
      </c>
      <c r="F96">
        <f t="shared" ca="1" si="12"/>
        <v>23525</v>
      </c>
      <c r="G96" t="str">
        <f t="shared" ca="1" si="13"/>
        <v>Active</v>
      </c>
    </row>
    <row r="97" spans="1:7" x14ac:dyDescent="0.3">
      <c r="A97" t="str">
        <f t="shared" si="7"/>
        <v>P096</v>
      </c>
      <c r="B97" t="str">
        <f t="shared" ca="1" si="8"/>
        <v>C005</v>
      </c>
      <c r="C97" s="1">
        <f t="shared" ca="1" si="9"/>
        <v>45677</v>
      </c>
      <c r="D97" s="1">
        <f t="shared" ca="1" si="10"/>
        <v>45720</v>
      </c>
      <c r="E97">
        <f t="shared" ca="1" si="11"/>
        <v>591</v>
      </c>
      <c r="F97">
        <f t="shared" ca="1" si="12"/>
        <v>12387</v>
      </c>
      <c r="G97" t="str">
        <f t="shared" ca="1" si="13"/>
        <v>Delayed</v>
      </c>
    </row>
    <row r="98" spans="1:7" x14ac:dyDescent="0.3">
      <c r="A98" t="str">
        <f t="shared" si="7"/>
        <v>P097</v>
      </c>
      <c r="B98" t="str">
        <f t="shared" ca="1" si="8"/>
        <v>C010</v>
      </c>
      <c r="C98" s="1">
        <f t="shared" ca="1" si="9"/>
        <v>45679</v>
      </c>
      <c r="D98" s="1">
        <f t="shared" ca="1" si="10"/>
        <v>45857</v>
      </c>
      <c r="E98">
        <f t="shared" ca="1" si="11"/>
        <v>103</v>
      </c>
      <c r="F98">
        <f t="shared" ca="1" si="12"/>
        <v>16744</v>
      </c>
      <c r="G98" t="str">
        <f t="shared" ca="1" si="13"/>
        <v>Delayed</v>
      </c>
    </row>
    <row r="99" spans="1:7" x14ac:dyDescent="0.3">
      <c r="A99" t="str">
        <f t="shared" si="7"/>
        <v>P098</v>
      </c>
      <c r="B99" t="str">
        <f t="shared" ca="1" si="8"/>
        <v>C020</v>
      </c>
      <c r="C99" s="1">
        <f t="shared" ca="1" si="9"/>
        <v>45840</v>
      </c>
      <c r="D99" s="1">
        <f t="shared" ca="1" si="10"/>
        <v>45938</v>
      </c>
      <c r="E99">
        <f t="shared" ca="1" si="11"/>
        <v>204</v>
      </c>
      <c r="F99">
        <f t="shared" ca="1" si="12"/>
        <v>46059</v>
      </c>
      <c r="G99" t="str">
        <f t="shared" ca="1" si="13"/>
        <v>Active</v>
      </c>
    </row>
    <row r="100" spans="1:7" x14ac:dyDescent="0.3">
      <c r="A100" t="str">
        <f t="shared" si="7"/>
        <v>P099</v>
      </c>
      <c r="B100" t="str">
        <f t="shared" ca="1" si="8"/>
        <v>C018</v>
      </c>
      <c r="C100" s="1">
        <f t="shared" ca="1" si="9"/>
        <v>45910</v>
      </c>
      <c r="D100" s="1">
        <f t="shared" ca="1" si="10"/>
        <v>46082</v>
      </c>
      <c r="E100">
        <f t="shared" ca="1" si="11"/>
        <v>560</v>
      </c>
      <c r="F100">
        <f t="shared" ca="1" si="12"/>
        <v>73768</v>
      </c>
      <c r="G100" t="str">
        <f t="shared" ca="1" si="13"/>
        <v>Completed</v>
      </c>
    </row>
    <row r="101" spans="1:7" x14ac:dyDescent="0.3">
      <c r="A101" t="str">
        <f t="shared" si="7"/>
        <v>P100</v>
      </c>
      <c r="B101" t="str">
        <f t="shared" ca="1" si="8"/>
        <v>C014</v>
      </c>
      <c r="C101" s="1">
        <f t="shared" ca="1" si="9"/>
        <v>45868</v>
      </c>
      <c r="D101" s="1">
        <f t="shared" ca="1" si="10"/>
        <v>46013</v>
      </c>
      <c r="E101">
        <f t="shared" ca="1" si="11"/>
        <v>299</v>
      </c>
      <c r="F101">
        <f t="shared" ca="1" si="12"/>
        <v>75147</v>
      </c>
      <c r="G101" t="str">
        <f t="shared" ca="1" si="13"/>
        <v>Delayed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Tanmay</dc:creator>
  <cp:lastModifiedBy>Tanmay Sawant</cp:lastModifiedBy>
  <dcterms:created xsi:type="dcterms:W3CDTF">2015-06-05T18:17:20Z</dcterms:created>
  <dcterms:modified xsi:type="dcterms:W3CDTF">2026-06-04T09:06:44Z</dcterms:modified>
</cp:coreProperties>
</file>